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-on-the-use-of-water-(" sheetId="1" r:id="rId4"/>
    <sheet state="visible" name="Global 2020 Report" sheetId="2" r:id="rId5"/>
    <sheet state="visible" name="Pivot Table 1" sheetId="3" r:id="rId6"/>
  </sheets>
  <definedNames>
    <definedName hidden="1" localSheetId="0" name="_xlnm._FilterDatabase">'Estimates-on-the-use-of-water-('!$A$1:$R$214</definedName>
    <definedName hidden="1" localSheetId="1" name="_xlnm._FilterDatabase">'Global 2020 Report'!$B$1:$B$1000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<sst xmlns="http://schemas.openxmlformats.org/spreadsheetml/2006/main" count="1362" uniqueCount="341">
  <si>
    <t>name</t>
  </si>
  <si>
    <t>income_group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</si>
  <si>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</si>
  <si>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</si>
  <si>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</si>
  <si>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</si>
  <si>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</si>
  <si>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</si>
  <si>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</si>
  <si>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</si>
  <si>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</si>
  <si>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</si>
  <si>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</si>
  <si>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</si>
  <si>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</si>
  <si>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</si>
  <si>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value_cnt</t>
  </si>
  <si>
    <t>value_count</t>
  </si>
  <si>
    <t>Tokelau</t>
  </si>
  <si>
    <t>NAN</t>
  </si>
  <si>
    <t>Niue</t>
  </si>
  <si>
    <t>Falkland Islands (Malvinas)</t>
  </si>
  <si>
    <t>Montserrat</t>
  </si>
  <si>
    <t>Saint Pierre and Miquelon</t>
  </si>
  <si>
    <t>Saint Helena</t>
  </si>
  <si>
    <t>Saint Barthelemy</t>
  </si>
  <si>
    <t>Nauru</t>
  </si>
  <si>
    <t>Wallis and Futuna Islands</t>
  </si>
  <si>
    <t>Tuvalu</t>
  </si>
  <si>
    <t>Cook Islands</t>
  </si>
  <si>
    <t>Palau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</si>
  <si>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</si>
  <si>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</si>
  <si>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</si>
  <si>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</si>
  <si>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</si>
  <si>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</si>
  <si>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</si>
  <si>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American Samoa</t>
  </si>
  <si>
    <t>Greenland</t>
  </si>
  <si>
    <t>Northern Mariana Islands</t>
  </si>
  <si>
    <t>Marshall Islands</t>
  </si>
  <si>
    <t>Bermuda</t>
  </si>
  <si>
    <t>Andorra</t>
  </si>
  <si>
    <t>Isle of Man</t>
  </si>
  <si>
    <t>United States Virgin Islands</t>
  </si>
  <si>
    <t>Tonga</t>
  </si>
  <si>
    <t>Kiribati</t>
  </si>
  <si>
    <t>Guam</t>
  </si>
  <si>
    <t>Saint Lucia</t>
  </si>
  <si>
    <t>Samoa</t>
  </si>
  <si>
    <t>Sao Tome and Principe</t>
  </si>
  <si>
    <t>Mayotte</t>
  </si>
  <si>
    <t>French Polynesia</t>
  </si>
  <si>
    <t>New Caledonia</t>
  </si>
  <si>
    <t>Barbados</t>
  </si>
  <si>
    <t>French Guiana</t>
  </si>
  <si>
    <t>Vanuatu</t>
  </si>
  <si>
    <t>Iceland</t>
  </si>
  <si>
    <t>Martinique</t>
  </si>
  <si>
    <t>Belize</t>
  </si>
  <si>
    <t>Guadeloupe</t>
  </si>
  <si>
    <t>Brunei Darussalam</t>
  </si>
  <si>
    <t>Malta</t>
  </si>
  <si>
    <t>Maldives</t>
  </si>
  <si>
    <t>Cabo Verde</t>
  </si>
  <si>
    <t>Suriname</t>
  </si>
  <si>
    <t>Luxembourg</t>
  </si>
  <si>
    <t>Montenegro</t>
  </si>
  <si>
    <t>China, Macao SAR</t>
  </si>
  <si>
    <t>Solomon Islands</t>
  </si>
  <si>
    <t>Bhutan</t>
  </si>
  <si>
    <t>Guyana</t>
  </si>
  <si>
    <t>Réunion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</si>
  <si>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</si>
  <si>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</si>
  <si>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</si>
  <si>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</si>
  <si>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</si>
  <si>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</si>
  <si>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</si>
  <si>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</si>
  <si>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Bahrain</t>
  </si>
  <si>
    <t>Latvia</t>
  </si>
  <si>
    <t>Guinea-Bissau</t>
  </si>
  <si>
    <t>Slovenia</t>
  </si>
  <si>
    <t>North Macedonia</t>
  </si>
  <si>
    <t>Lesotho</t>
  </si>
  <si>
    <t>Gabon</t>
  </si>
  <si>
    <t>Botswana</t>
  </si>
  <si>
    <t>Gambia</t>
  </si>
  <si>
    <t>Namibia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</si>
  <si>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</si>
  <si>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</si>
  <si>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</si>
  <si>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</si>
  <si>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</si>
  <si>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</si>
  <si>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</si>
  <si>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</si>
  <si>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</si>
  <si>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Georgia</t>
  </si>
  <si>
    <t>Republic of 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</si>
  <si>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</si>
  <si>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</si>
  <si>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</si>
  <si>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</si>
  <si>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</si>
  <si>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</si>
  <si>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</si>
  <si>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</si>
  <si>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</si>
  <si>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West Bank and Gaza Strip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</si>
  <si>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</si>
  <si>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</si>
  <si>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</si>
  <si>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</si>
  <si>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</si>
  <si>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</si>
  <si>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</si>
  <si>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</si>
  <si>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</si>
  <si>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</si>
  <si>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</si>
  <si>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</si>
  <si>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</si>
  <si>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</si>
  <si>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</si>
  <si>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 People's Democratic Republic</t>
  </si>
  <si>
    <t>China, Hong Kong SAR</t>
  </si>
  <si>
    <t>Sierra Leone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</si>
  <si>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</si>
  <si>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</si>
  <si>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</si>
  <si>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</si>
  <si>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</si>
  <si>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</si>
  <si>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</si>
  <si>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</si>
  <si>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Hungary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</si>
  <si>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</si>
  <si>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</si>
  <si>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</si>
  <si>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</si>
  <si>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</si>
  <si>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</si>
  <si>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</si>
  <si>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</t>
  </si>
  <si>
    <t>Dominican Republic</t>
  </si>
  <si>
    <t>South Sudan</t>
  </si>
  <si>
    <t>Cuba</t>
  </si>
  <si>
    <t>Haiti</t>
  </si>
  <si>
    <t>Belgium</t>
  </si>
  <si>
    <t>Bolivia (Plurinational State of)</t>
  </si>
  <si>
    <t>Tunisia</t>
  </si>
  <si>
    <t>Burundi</t>
  </si>
  <si>
    <t>Benin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</si>
  <si>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</si>
  <si>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</si>
  <si>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</si>
  <si>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</si>
  <si>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</si>
  <si>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</si>
  <si>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</si>
  <si>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</si>
  <si>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Syrian Arab Republic</t>
  </si>
  <si>
    <t>Ecuador</t>
  </si>
  <si>
    <t>Guatemala</t>
  </si>
  <si>
    <t>Zambia</t>
  </si>
  <si>
    <t>Kazakhstan</t>
  </si>
  <si>
    <t>Chile</t>
  </si>
  <si>
    <t>Malawi</t>
  </si>
  <si>
    <t>Romania</t>
  </si>
  <si>
    <t>Mali</t>
  </si>
  <si>
    <t>Burkina Faso</t>
  </si>
  <si>
    <t>Sri Lanka</t>
  </si>
  <si>
    <t>Niger</t>
  </si>
  <si>
    <t>Australia</t>
  </si>
  <si>
    <t>Democratic People's Republic of Korea</t>
  </si>
  <si>
    <t>Côte d'Ivoire</t>
  </si>
  <si>
    <t>Cameroon</t>
  </si>
  <si>
    <t>Madagascar</t>
  </si>
  <si>
    <t>Venezuela (Bolivarian Republic of)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</si>
  <si>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</si>
  <si>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</si>
  <si>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</si>
  <si>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</si>
  <si>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</si>
  <si>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</si>
  <si>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</si>
  <si>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</si>
  <si>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Saudi Arabia</t>
  </si>
  <si>
    <t>Morocco</t>
  </si>
  <si>
    <t>Canada</t>
  </si>
  <si>
    <t>Poland</t>
  </si>
  <si>
    <t>Afghanistan</t>
  </si>
  <si>
    <t>Iraq</t>
  </si>
  <si>
    <t>Ukraine</t>
  </si>
  <si>
    <t>Sudan</t>
  </si>
  <si>
    <t>Algeria</t>
  </si>
  <si>
    <t>Argentina</t>
  </si>
  <si>
    <t>Uganda</t>
  </si>
  <si>
    <t>Spain</t>
  </si>
  <si>
    <t>Colombia</t>
  </si>
  <si>
    <t>Republic of Korea</t>
  </si>
  <si>
    <t>Kenya</t>
  </si>
  <si>
    <t>Myanmar</t>
  </si>
  <si>
    <t>South Africa</t>
  </si>
  <si>
    <t>United Republic of Tanzania</t>
  </si>
  <si>
    <t>Italy</t>
  </si>
  <si>
    <t>France</t>
  </si>
  <si>
    <t>United Kingdom</t>
  </si>
  <si>
    <t>Thailand</t>
  </si>
  <si>
    <t>Germany</t>
  </si>
  <si>
    <t>Iran (Islamic Republic of)</t>
  </si>
  <si>
    <t>Turkey</t>
  </si>
  <si>
    <t>Democratic Republic of the Congo</t>
  </si>
  <si>
    <t>Viet Nam</t>
  </si>
  <si>
    <t>Egypt</t>
  </si>
  <si>
    <t>Philippines</t>
  </si>
  <si>
    <t>Ethiopia</t>
  </si>
  <si>
    <t>Japan</t>
  </si>
  <si>
    <t>Mexico</t>
  </si>
  <si>
    <t>Russian Federation</t>
  </si>
  <si>
    <t>Bangladesh</t>
  </si>
  <si>
    <t>Nigeria</t>
  </si>
  <si>
    <t>Brazil</t>
  </si>
  <si>
    <t>Pakistan</t>
  </si>
  <si>
    <t>Indonesia</t>
  </si>
  <si>
    <t>United States of America</t>
  </si>
  <si>
    <t>India</t>
  </si>
  <si>
    <t>China</t>
  </si>
  <si>
    <t>pop_n (m)</t>
  </si>
  <si>
    <t>pop_r</t>
  </si>
  <si>
    <t>pop_u_val</t>
  </si>
  <si>
    <t>_wat_bas_n (rounded)</t>
  </si>
  <si>
    <t>Area_access</t>
  </si>
  <si>
    <t>minimum</t>
  </si>
  <si>
    <t>maximum</t>
  </si>
  <si>
    <t>first quartile</t>
  </si>
  <si>
    <t>third quartile</t>
  </si>
  <si>
    <t>Total Pop</t>
  </si>
  <si>
    <t>Total Pop (billions)</t>
  </si>
  <si>
    <t>maximum of water access columns</t>
  </si>
  <si>
    <t>mean of wat_bas_u_</t>
  </si>
  <si>
    <t>Estimated World pop</t>
  </si>
  <si>
    <t>maximum wat_bas_n (rounded)</t>
  </si>
  <si>
    <t>mean of _wat_lim_u</t>
  </si>
  <si>
    <t>mean of wat_unimp_u</t>
  </si>
  <si>
    <t>Total urban population</t>
  </si>
  <si>
    <t>mean of wat_bas_n_</t>
  </si>
  <si>
    <t>mean of wat_bas_r</t>
  </si>
  <si>
    <t>mean of wat_sur_u</t>
  </si>
  <si>
    <t>Total urban population (billions)</t>
  </si>
  <si>
    <t>mean of _wat_lim_n</t>
  </si>
  <si>
    <t>mean of _wat_lim_r</t>
  </si>
  <si>
    <t>mean of wat_unimp_n</t>
  </si>
  <si>
    <t>mean of wat_unimp_r</t>
  </si>
  <si>
    <t>median of wat_bas_u</t>
  </si>
  <si>
    <t>Estimated world urban population</t>
  </si>
  <si>
    <t>mean of wat_sur_n_</t>
  </si>
  <si>
    <t>mean of wat_sur_r</t>
  </si>
  <si>
    <t>median of _wat_lim_u</t>
  </si>
  <si>
    <t>median of wat_unimp_u</t>
  </si>
  <si>
    <t>Percentage difference</t>
  </si>
  <si>
    <t>median of wat_bas_n_</t>
  </si>
  <si>
    <t>median of wat_bas_r</t>
  </si>
  <si>
    <t>median of wat_sur_u</t>
  </si>
  <si>
    <t>median of _wat_lim_n</t>
  </si>
  <si>
    <t>median of _wat_lim_r</t>
  </si>
  <si>
    <t>median of wat_unimp_n</t>
  </si>
  <si>
    <t>median of wat_unimp_r</t>
  </si>
  <si>
    <t>mode of wat_bas_u</t>
  </si>
  <si>
    <t>median of wat_sur_n_</t>
  </si>
  <si>
    <t>median of wat_sur_r</t>
  </si>
  <si>
    <t>mode of _wat_lim_u</t>
  </si>
  <si>
    <t>mode of wat_unimp_u</t>
  </si>
  <si>
    <t>mode of wat_bas_n_</t>
  </si>
  <si>
    <t>mode of wat_bas_r</t>
  </si>
  <si>
    <t>mode of wat_sur_u</t>
  </si>
  <si>
    <t>mode of _wat_lim_n</t>
  </si>
  <si>
    <t>mode of _wat_lim_r</t>
  </si>
  <si>
    <t>mode of wat_unimp_n</t>
  </si>
  <si>
    <t>mode of wat_unimp_r</t>
  </si>
  <si>
    <t>mode of wat_sur_n_</t>
  </si>
  <si>
    <t>mode of wat_sur_r</t>
  </si>
  <si>
    <t>first quartiles of wat_bas_n</t>
  </si>
  <si>
    <t>first quartiles of wat_bas_r</t>
  </si>
  <si>
    <t>first quartiles of wat_bas_u</t>
  </si>
  <si>
    <t>second quartiles of wat_bas_n</t>
  </si>
  <si>
    <t>second quartiles of wat_bas_r</t>
  </si>
  <si>
    <t>second quartiles of wat_bas_u</t>
  </si>
  <si>
    <t xml:space="preserve"> interquartile range (IQR) of wat_bas_n</t>
  </si>
  <si>
    <t xml:space="preserve"> interquartile range (IQR) of wat_bas_r</t>
  </si>
  <si>
    <t xml:space="preserve"> interquartile range (IQR) of wat_bas_u</t>
  </si>
  <si>
    <t>standard deviation of wat_bas_n</t>
  </si>
  <si>
    <t>standard deviation of wat_bas_r</t>
  </si>
  <si>
    <t>standard deviation of wat_bas_u</t>
  </si>
  <si>
    <t>first quartiles of wat_lim_n</t>
  </si>
  <si>
    <t>first quartiles of wat_lim_r</t>
  </si>
  <si>
    <t>first quartiles of wat_lim_u</t>
  </si>
  <si>
    <t>second quartiles of wat_lim_n</t>
  </si>
  <si>
    <t>second quartiles of wat_lim_r</t>
  </si>
  <si>
    <t>second quartiles of wat_lim_u</t>
  </si>
  <si>
    <t xml:space="preserve"> interquartile range (IQR) of wat_lim_n</t>
  </si>
  <si>
    <t xml:space="preserve"> interquartile range (IQR) of wat_lim_r</t>
  </si>
  <si>
    <t xml:space="preserve"> interquartile range (IQR) of wat_lim_u</t>
  </si>
  <si>
    <t>standard deviation of wat_lim_n</t>
  </si>
  <si>
    <t>standard deviation of wat_lim_r</t>
  </si>
  <si>
    <t>standard deviation of wat_lim_u</t>
  </si>
  <si>
    <t>first quartiles of wat_unimp_n</t>
  </si>
  <si>
    <t>first quartiles of wat_unimp_r</t>
  </si>
  <si>
    <t>first quartiles of wat_unimp_u</t>
  </si>
  <si>
    <t>second quartiles of wat_unimp_n</t>
  </si>
  <si>
    <t>second quartiles of wat_unimp_r</t>
  </si>
  <si>
    <t>second quartiles of wat_unimp_u</t>
  </si>
  <si>
    <t xml:space="preserve"> interquartile range (IQR) of wat_unimp_n</t>
  </si>
  <si>
    <t xml:space="preserve"> interquartile range (IQR) of wat_unimp_r</t>
  </si>
  <si>
    <t xml:space="preserve"> interquartile range (IQR) of wat_unimp_u</t>
  </si>
  <si>
    <t>standard deviation of wat_unimp_n</t>
  </si>
  <si>
    <t>standard deviation of wat_unimp_r</t>
  </si>
  <si>
    <t>standard deviation of wat_unimp_u</t>
  </si>
  <si>
    <t>first quartiles of wat_sur_n</t>
  </si>
  <si>
    <t>first quartiles of wat_sur_r</t>
  </si>
  <si>
    <t>first quartiles of wat_sur_u</t>
  </si>
  <si>
    <t>second quartiles of wat_sur_n</t>
  </si>
  <si>
    <t>second quartiles of wat_sur_r</t>
  </si>
  <si>
    <t>second quartiles of wat_sur_u</t>
  </si>
  <si>
    <t xml:space="preserve"> interquartile range (IQR) of wat_sur_n</t>
  </si>
  <si>
    <t xml:space="preserve"> interquartile range (IQR) of wat_sur_r</t>
  </si>
  <si>
    <t xml:space="preserve"> interquartile range (IQR) of wat_sur_u</t>
  </si>
  <si>
    <t>standard deviation of wat_sur_n</t>
  </si>
  <si>
    <t>standard deviation of wat_sur_r</t>
  </si>
  <si>
    <t>standard deviation of wat_sur_u</t>
  </si>
  <si>
    <t>SUM of pop_n</t>
  </si>
  <si>
    <t>AVERAGE of pop_u</t>
  </si>
  <si>
    <t>AVERAGE of wat_bas_n</t>
  </si>
  <si>
    <t>AVERAGE of wat_lim_n</t>
  </si>
  <si>
    <t>AVERAGE of wat_unimp_n</t>
  </si>
  <si>
    <t>AVERAGE of wat_sur_n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</si>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</sst>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sz val="11.0"/>
      <color rgb="FF0A0A0A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3F5F6"/>
        <bgColor rgb="FFF3F5F6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4" xfId="0" applyFont="1" applyNumberFormat="1"/>
    <xf borderId="0" fillId="0" fontId="3" numFmtId="0" xfId="0" applyAlignment="1" applyFont="1">
      <alignment horizontal="right" vertical="bottom"/>
    </xf>
    <xf borderId="0" fillId="0" fontId="4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2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Access to Water</a:t>
            </a:r>
          </a:p>
        </c:rich>
      </c:tx>
      <c:overlay val="0"/>
    </c:title>
    <c:plotArea>
      <c:layout/>
      <c:stockChart>
        <c:ser>
          <c:idx val="0"/>
          <c:order val="0"/>
          <c:tx>
            <c:strRef>
              <c:f>'Global 2020 Report'!$AK$1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'Global 2020 Report'!$AH$2:$AH$13</c:f>
            </c:strRef>
          </c:cat>
          <c:val>
            <c:numRef>
              <c:f>'Global 2020 Report'!$AK$2:$AK$13</c:f>
              <c:numCache/>
            </c:numRef>
          </c:val>
          <c:smooth val="0"/>
        </c:ser>
        <c:ser>
          <c:idx val="1"/>
          <c:order val="1"/>
          <c:tx>
            <c:strRef>
              <c:f>'Global 2020 Report'!$AJ$1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'Global 2020 Report'!$AH$2:$AH$13</c:f>
            </c:strRef>
          </c:cat>
          <c:val>
            <c:numRef>
              <c:f>'Global 2020 Report'!$AJ$2:$AJ$13</c:f>
              <c:numCache/>
            </c:numRef>
          </c:val>
          <c:smooth val="0"/>
        </c:ser>
        <c:ser>
          <c:idx val="2"/>
          <c:order val="2"/>
          <c:tx>
            <c:strRef>
              <c:f>'Global 2020 Report'!$AI$1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'Global 2020 Report'!$AH$2:$AH$13</c:f>
            </c:strRef>
          </c:cat>
          <c:val>
            <c:numRef>
              <c:f>'Global 2020 Report'!$AI$2:$AI$13</c:f>
              <c:numCache/>
            </c:numRef>
          </c:val>
          <c:smooth val="0"/>
        </c:ser>
        <c:ser>
          <c:idx val="3"/>
          <c:order val="3"/>
          <c:tx>
            <c:strRef>
              <c:f>'Global 2020 Report'!$AL$1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'Global 2020 Report'!$AH$2:$AH$13</c:f>
            </c:strRef>
          </c:cat>
          <c:val>
            <c:numRef>
              <c:f>'Global 2020 Report'!$AL$2:$AL$13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115441241"/>
        <c:axId val="337275345"/>
      </c:stockChart>
      <c:dateAx>
        <c:axId val="115441241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National                               Rural                                   Urban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7275345"/>
      </c:dateAx>
      <c:valAx>
        <c:axId val="337275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Percentage share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412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Rural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'Global 2020 Report'!$C$2:$C$214</c:f>
            </c:strRef>
          </c:cat>
          <c:val>
            <c:numRef>
              <c:f>'Global 2020 Report'!$E$2:$E$214</c:f>
              <c:numCache/>
            </c:numRef>
          </c:val>
          <c:smooth val="0"/>
        </c:ser>
        <c:ser>
          <c:idx val="1"/>
          <c:order val="1"/>
          <c:tx>
            <c:v>Urban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'Global 2020 Report'!$C$2:$C$214</c:f>
            </c:strRef>
          </c:cat>
          <c:val>
            <c:numRef>
              <c:f>'Global 2020 Report'!$F$2:$F$214</c:f>
              <c:numCache/>
            </c:numRef>
          </c:val>
          <c:smooth val="0"/>
        </c:ser>
        <c:axId val="1411179508"/>
        <c:axId val="822266676"/>
      </c:lineChart>
      <c:catAx>
        <c:axId val="1411179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Aggregated National Population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266676"/>
      </c:catAx>
      <c:valAx>
        <c:axId val="822266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share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1795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27</xdr:row>
      <xdr:rowOff>0</xdr:rowOff>
    </xdr:from>
    <xdr:ext cx="7239000" cy="3048000"/>
    <xdr:pic>
      <xdr:nvPicPr>
        <xdr:cNvPr id="53692848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942975</xdr:colOff>
      <xdr:row>15</xdr:row>
      <xdr:rowOff>9525</xdr:rowOff>
    </xdr:from>
    <xdr:ext cx="60864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161925</xdr:colOff>
      <xdr:row>3</xdr:row>
      <xdr:rowOff>104775</xdr:rowOff>
    </xdr:from>
    <xdr:ext cx="705802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1:AV214" sheet="Global 2020 Report"/>
  </cacheSource>
  <cacheFields>
    <cacheField name="income_group" numFmtId="0">
      <sharedItems containsSemiMixedTypes="0" containsString="0" containsNumber="1" containsInteger="1">
        <n v="0.0"/>
        <n v="4.0"/>
        <n v="3.0"/>
        <n v="2.0"/>
        <n v="1.0"/>
      </sharedItems>
    </cacheField>
    <cacheField name="pop_n" numFmtId="0">
      <sharedItems containsSemiMixedTypes="0" containsString="0" containsNumber="1">
        <n v="1.350000024"/>
        <n v="1.618000031"/>
        <n v="3.48300004"/>
        <n v="4.999000072"/>
        <n v="5.795000076"/>
        <n v="6.071000099"/>
        <n v="9.885"/>
        <n v="10.83399963"/>
        <n v="11.24600029"/>
        <n v="11.79199982"/>
        <n v="17.56399918"/>
        <n v="18.09199905"/>
        <n v="30.23699951"/>
        <n v="33.69100189"/>
        <n v="33.93799973"/>
        <n v="38.13700104"/>
        <n v="38.659"/>
        <n v="39.24399948"/>
        <n v="48.86500168"/>
        <n v="55.1969986"/>
        <n v="56.77199936"/>
        <n v="57.55699921"/>
        <n v="59.19400024"/>
        <n v="62.27299881"/>
        <n v="77.26499939"/>
        <n v="85.03199768"/>
        <n v="104.4229965"/>
        <n v="105.6969986"/>
        <n v="119.4459991"/>
        <n v="168.7830048"/>
        <n v="183.6289978"/>
        <n v="198.4100037"/>
        <n v="219.1609955"/>
        <n v="272.8129883"/>
        <n v="280.9039917"/>
        <n v="285.4909973"/>
        <n v="287.3710022"/>
        <n v="298.6820068"/>
        <n v="307.1499939"/>
        <n v="341.25"/>
        <n v="375.2650146"/>
        <n v="397.6210022"/>
        <n v="400.1270142"/>
        <n v="437.4830017"/>
        <n v="441.5390015"/>
        <n v="540.5419922"/>
        <n v="555.9879761"/>
        <n v="586.6339722"/>
        <n v="625.9760132"/>
        <n v="628.0620117"/>
        <n v="649.34198"/>
        <n v="686.8779907"/>
        <n v="771.6119995"/>
        <n v="786.559021"/>
        <n v="895.3079834"/>
        <n v="896.4439697"/>
        <n v="988.0020142"/>
        <n v="1160.16394"/>
        <n v="1207.360962"/>
        <n v="1271.766968"/>
        <n v="1318.442017"/>
        <n v="1326.53894"/>
        <n v="1399.490967"/>
        <n v="1701.583008"/>
        <n v="1886.202026"/>
        <n v="1967.998047"/>
        <n v="2078.931885"/>
        <n v="2083.379883"/>
        <n v="2142.251953"/>
        <n v="2225.728027"/>
        <n v="2351.625"/>
        <n v="2416.664063"/>
        <n v="2540.916016"/>
        <n v="2722.291016"/>
        <n v="2860.840088"/>
        <n v="2877.800049"/>
        <n v="2881.060059"/>
        <n v="2961.160889"/>
        <n v="2963.233887"/>
        <n v="3278.291992"/>
        <n v="3280.814941"/>
        <n v="3473.727051"/>
        <n v="3989.175049"/>
        <n v="4033.962891"/>
        <n v="4105.268066"/>
        <n v="4270.562988"/>
        <n v="4314.768066"/>
        <n v="4649.660156"/>
        <n v="4822.23291"/>
        <n v="4829.76416"/>
        <n v="4937.795898"/>
        <n v="5057.676758"/>
        <n v="5094.11377"/>
        <n v="5101.416016"/>
        <n v="5106.62207"/>
        <n v="5421.242188"/>
        <n v="5459.643066"/>
        <n v="5518.091797"/>
        <n v="5540.717773"/>
        <n v="5792.203125"/>
        <n v="5850.342773"/>
        <n v="6031.187012"/>
        <n v="6486.201172"/>
        <n v="6524.190918"/>
        <n v="6624.554199"/>
        <n v="6825.441895"/>
        <n v="6871.287109"/>
        <n v="6948.444824"/>
        <n v="7132.529785"/>
        <n v="7275.556152"/>
        <n v="7496.987793"/>
        <n v="7976.984863"/>
        <n v="8278.737305"/>
        <n v="8654.618164"/>
        <n v="8655.541016"/>
        <n v="8737.370117"/>
        <n v="8947.027344"/>
        <n v="9006.400391"/>
        <n v="9449.321289"/>
        <n v="9537.641602"/>
        <n v="9660.349609"/>
        <n v="9890.400391"/>
        <n v="9904.608398"/>
        <n v="10099.26953"/>
        <n v="10139.1748"/>
        <n v="10196.70703"/>
        <n v="10203.13965"/>
        <n v="10423.05566"/>
        <n v="10708.98242"/>
        <n v="10847.9043"/>
        <n v="11193.72852"/>
        <n v="11326.61621"/>
        <n v="11402.5332"/>
        <n v="11589.61621"/>
        <n v="11673.0293"/>
        <n v="11818.61816"/>
        <n v="11890.78125"/>
        <n v="12123.19824"/>
        <n v="12952.20898"/>
        <n v="13132.79199"/>
        <n v="14862.92676"/>
        <n v="15893.21875"/>
        <n v="16425.85938"/>
        <n v="16718.9707"/>
        <n v="16743.92969"/>
        <n v="17134.87305"/>
        <n v="17500.65625"/>
        <n v="17643.06055"/>
        <n v="17915.56641"/>
        <n v="18383.95508"/>
        <n v="18776.70703"/>
        <n v="19116.20898"/>
        <n v="19129.95508"/>
        <n v="19237.68164"/>
        <n v="20250.83398"/>
        <n v="20903.27734"/>
        <n v="21413.25"/>
        <n v="24206.63672"/>
        <n v="25499.88086"/>
        <n v="25778.81445"/>
        <n v="26378.27539"/>
        <n v="26545.86328"/>
        <n v="27691.01953"/>
        <n v="28435.94336"/>
        <n v="29136.80859"/>
        <n v="29825.96875"/>
        <n v="31072.94531"/>
        <n v="31255.43555"/>
        <n v="32365.99805"/>
        <n v="32866.26953"/>
        <n v="32971.84766"/>
        <n v="33469.19922"/>
        <n v="34813.86719"/>
        <n v="36910.55859"/>
        <n v="37742.15625"/>
        <n v="37846.60547"/>
        <n v="38928.33984"/>
        <n v="40222.50391"/>
        <n v="43733.75781"/>
        <n v="43849.26953"/>
        <n v="43851.04297"/>
        <n v="45195.77734"/>
        <n v="45741.0"/>
        <n v="46754.78125"/>
        <n v="50882.88281"/>
        <n v="51269.18359"/>
        <n v="53771.30078"/>
        <n v="54409.79297"/>
        <n v="59308.69141"/>
        <n v="59734.21484"/>
        <n v="60461.82813"/>
        <n v="65273.51172"/>
        <n v="67886.00781"/>
        <n v="69799.97656"/>
        <n v="83783.94531"/>
        <n v="83992.95313"/>
        <n v="84339.07031"/>
        <n v="89561.40625"/>
        <n v="97338.58594"/>
        <n v="102334.4063"/>
        <n v="109581.0859"/>
        <n v="114963.5859"/>
        <n v="126476.4609"/>
        <n v="128932.75"/>
        <n v="145934.4531"/>
        <n v="164689.3906"/>
        <n v="206139.5938"/>
        <n v="212559.4063"/>
        <n v="220892.3281"/>
        <n v="273523.625"/>
        <n v="331002.6563"/>
        <n v="1380004.375"/>
        <n v="1463140.5"/>
      </sharedItems>
    </cacheField>
    <cacheField name="pop_u" numFmtId="0">
      <sharedItems containsSemiMixedTypes="0" containsString="0" containsNumber="1">
        <n v="0.0"/>
        <n v="46.20200348"/>
        <n v="78.50799561"/>
        <n v="9.114999771"/>
        <n v="89.96199799"/>
        <n v="40.08200073"/>
        <n v="100.0"/>
        <n v="64.01399994"/>
        <n v="75.49500275"/>
        <n v="80.98799896"/>
        <n v="48.51499939"/>
        <n v="97.49900055"/>
        <n v="14.41600037"/>
        <n v="42.39799881"/>
        <n v="87.15299988"/>
        <n v="87.28200531"/>
        <n v="91.79799652"/>
        <n v="77.79399109"/>
        <n v="87.91600037"/>
        <n v="52.89800262"/>
        <n v="95.93900299"/>
        <n v="23.09899902"/>
        <n v="55.59399796"/>
        <n v="94.93800354"/>
        <n v="18.8409996"/>
        <n v="17.88899994"/>
        <n v="74.35400391"/>
        <n v="45.75099945"/>
        <n v="61.97500229"/>
        <n v="71.51799774"/>
        <n v="31.19099998"/>
        <n v="85.81999969"/>
        <n v="25.52500153"/>
        <n v="93.897995"/>
        <n v="89.13999939"/>
        <n v="46.02500153"/>
        <n v="98.49899292"/>
        <n v="78.25000763"/>
        <n v="94.7440033"/>
        <n v="40.66899872"/>
        <n v="66.65200043"/>
        <n v="66.14900208"/>
        <n v="91.4529953"/>
        <n v="67.48800659"/>
        <n v="24.67000008"/>
        <n v="42.31599808"/>
        <n v="26.7859993"/>
        <n v="99.65900421"/>
        <n v="57.24700546"/>
        <n v="78.06199646"/>
        <n v="24.17100143"/>
        <n v="66.82099915"/>
        <n v="40.75999832"/>
        <n v="31.31999969"/>
        <n v="69.22900391"/>
        <n v="53.2140007"/>
        <n v="89.50600433"/>
        <n v="68.31500244"/>
        <n v="44.19599915"/>
        <n v="55.11800385"/>
        <n v="58.48199844"/>
        <n v="29.02799988"/>
        <n v="90.09200287"/>
        <n v="70.8769989"/>
        <n v="62.58199692"/>
        <n v="52.03300095"/>
        <n v="68.04599762"/>
        <n v="93.58100128"/>
        <n v="62.11199951"/>
        <n v="99.23500061"/>
        <n v="56.31100082"/>
        <n v="63.31299973"/>
        <n v="68.65699768"/>
        <n v="49.02000046"/>
        <n v="95.51499939"/>
        <n v="59.4529953"/>
        <n v="42.84900284"/>
        <n v="57.55299759"/>
        <n v="68.41400146"/>
        <n v="55.32699585"/>
        <n v="86.6989975"/>
        <n v="42.19799805"/>
        <n v="63.65299988"/>
        <n v="52.08899689"/>
        <n v="80.77099609"/>
        <n v="76.71899414"/>
        <n v="86.27599335"/>
        <n v="82.97399139"/>
        <n v="53.75999832"/>
        <n v="67.82900238"/>
        <n v="85.51700592"/>
        <n v="88.11600494"/>
        <n v="52.51600266"/>
        <n v="73.44400024"/>
        <n v="36.85599899"/>
        <n v="59.01200104"/>
        <n v="88.92499542"/>
        <n v="80.69100189"/>
        <n v="75.68599701"/>
        <n v="62.18299484"/>
        <n v="36.29000092"/>
        <n v="42.92300034"/>
        <n v="42.79999924"/>
        <n v="73.91500092"/>
        <n v="92.58699799"/>
        <n v="56.44599915"/>
        <n v="13.34500027"/>
        <n v="58.7480011"/>
        <n v="79.48300171"/>
        <n v="27.50599861"/>
        <n v="71.94200134"/>
        <n v="87.04799652"/>
        <n v="58.35899734"/>
        <n v="87.97699738"/>
        <n v="56.39700317"/>
        <n v="66.30999756"/>
        <n v="91.41799927"/>
        <n v="79.71500397"/>
        <n v="74.06100464"/>
        <n v="82.54000092"/>
        <n v="20.1989994"/>
        <n v="77.19400024"/>
        <n v="57.08799744"/>
        <n v="98.07899475"/>
        <n v="70.1230011"/>
        <n v="69.56800079"/>
        <n v="13.70800018"/>
        <n v="48.4149971"/>
        <n v="17.43200111"/>
        <n v="36.875"/>
        <n v="32.24200058"/>
        <n v="46.14099884"/>
        <n v="23.52000046"/>
        <n v="24.23200035"/>
        <n v="48.12200165"/>
        <n v="92.23600006"/>
        <n v="55.47500229"/>
        <n v="64.16600037"/>
        <n v="51.83599854"/>
        <n v="44.6289978"/>
        <n v="57.67100143"/>
        <n v="87.72699738"/>
        <n v="17.42700005"/>
        <n v="54.19400024"/>
        <n v="43.90900421"/>
        <n v="30.60700035"/>
        <n v="18.71299934"/>
        <n v="16.62599945"/>
        <n v="86.24099731"/>
        <n v="62.38100052"/>
        <n v="51.70599747"/>
        <n v="57.56000519"/>
        <n v="38.5340004"/>
        <n v="88.27899933"/>
        <n v="20.57600021"/>
        <n v="37.90799713"/>
        <n v="57.34899902"/>
        <n v="37.0739975"/>
        <n v="77.15999603"/>
        <n v="66.82499695"/>
        <n v="78.2970047"/>
        <n v="50.41599655"/>
        <n v="84.28700256"/>
        <n v="63.53199768"/>
        <n v="81.56200409"/>
        <n v="60.04300308"/>
        <n v="26.02599907"/>
        <n v="70.89299774"/>
        <n v="69.60800171"/>
        <n v="35.25299835"/>
        <n v="73.73300171"/>
        <n v="92.11100006"/>
        <n v="24.95400047"/>
        <n v="80.80999756"/>
        <n v="81.42499542"/>
        <n v="81.41400146"/>
        <n v="27.99499893"/>
        <n v="31.14100075"/>
        <n v="67.35400391"/>
        <n v="35.22700119"/>
        <n v="71.03899384"/>
        <n v="80.97499847"/>
        <n v="83.90299988"/>
        <n v="51.43000031"/>
        <n v="77.45300293"/>
        <n v="75.87400055"/>
        <n v="76.10500336"/>
        <n v="45.63800049"/>
        <n v="37.34000015"/>
        <n v="42.78300095"/>
        <n v="47.40799713"/>
        <n v="21.69499969"/>
        <n v="91.78199768"/>
        <n v="80.73099518"/>
        <n v="74.75400543"/>
        <n v="38.17700195"/>
        <n v="51.95800018"/>
        <n v="87.07299805"/>
        <n v="37.16500092"/>
        <n v="56.64099884"/>
        <n v="82.66400146"/>
        <n v="34.9260025"/>
        <n v="61.71308899"/>
      </sharedItems>
    </cacheField>
    <cacheField name="wat_bas_n">
      <sharedItems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00.0000017"/>
        <n v="88.57204698"/>
        <n v="99.90314002"/>
        <n v="100.0000037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100.0000004"/>
        <n v="99.5444386"/>
        <n v="88.76960642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100.0000013"/>
        <n v="37.20240205"/>
        <n v="97.39970651"/>
        <n v="75.26179159"/>
        <n v="99.81053693"/>
        <n v="97.88039722"/>
        <n v="92.16802469"/>
        <n v="99.9999955"/>
        <n v="99.78769858"/>
        <n v="73.78451158"/>
        <n v="100.0000033"/>
        <n v="100.0000011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100.0000028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100.0000023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</sharedItems>
    </cacheField>
    <cacheField name="wat_lim_n">
      <sharedItems containsMixedTypes="1" containsNumber="1">
        <n v="0.0"/>
        <n v="11.387979"/>
        <n v="0.8814972962"/>
        <n v="4.076899625"/>
        <n v="1.815652166"/>
        <n v="6.520899952"/>
        <n v="20.23798298"/>
        <n v="0.2676005761"/>
        <n v="1.06238505"/>
        <n v="1.249110629"/>
        <n v="0.0480506913"/>
        <n v="7.904150846"/>
        <n v="1.067246941"/>
        <n v="0.5454788204"/>
        <n v="5.79547831"/>
        <n v="2.460712607"/>
        <n v="1.205244408"/>
        <n v="14.7574817"/>
        <n v="9.507067163"/>
        <n v="1.88586597"/>
        <n v="1.124829231"/>
        <n v="0.6823007424"/>
        <n v="14.03457137"/>
        <n v="1.63499414"/>
        <n v="10.40592597"/>
        <n v="7.735263103"/>
        <n v="4.72303897"/>
        <n v="8.597391391"/>
        <n v="7.08762751"/>
        <n v="1.884656092"/>
        <n v="5.367570914"/>
        <n v="2.14642893"/>
        <n v="3.823663938"/>
        <n v="0.5042424412"/>
        <n v="1.519776762"/>
        <s v="NAN"/>
        <n v="1.873480592"/>
        <n v="13.47689193"/>
        <n v="25.68237348"/>
        <n v="8.700657475"/>
        <n v="0.1894594746"/>
        <n v="1.029979486"/>
        <n v="7.541419893"/>
        <n v="0.2123014241"/>
        <n v="10.46117203"/>
        <n v="0.2072632319"/>
        <n v="1.900734111"/>
        <n v="1.506645682"/>
        <n v="7.4"/>
        <n v="0.4065302439"/>
        <n v="3.566857739"/>
        <n v="9.023316357"/>
        <n v="6.065434765"/>
        <n v="4.244199279"/>
        <n v="2.128564452"/>
        <n v="3.37211955"/>
        <n v="2.568363935"/>
        <n v="0.4256206085"/>
        <n v="1.04278118"/>
        <n v="0.1462147369"/>
        <n v="0.4670386504"/>
        <n v="37.42696287"/>
        <n v="1.471384542"/>
        <n v="9.814543652"/>
        <n v="0.1365905296"/>
        <n v="1.63135067"/>
        <n v="19.43969314"/>
        <n v="9.317535586"/>
        <n v="22.3207193"/>
        <n v="21.2815915"/>
        <n v="14.1975397"/>
        <n v="27.70419956"/>
        <n v="14.74028929"/>
        <n v="13.90222204"/>
        <n v="2.387217509"/>
        <n v="5.873730768"/>
        <n v="0.003451463449"/>
        <n v="1.034150511"/>
        <n v="6.15393902"/>
        <n v="1.941425039"/>
        <n v="21.95081497"/>
        <n v="3.854734527"/>
        <n v="31.2730034"/>
        <n v="0.5954581495"/>
        <n v="21.6538987"/>
        <n v="0.6831311872"/>
        <n v="8.935421702"/>
        <n v="12.87474863"/>
        <n v="2.71797298"/>
        <n v="0.4707829181"/>
        <n v="3.979825725"/>
        <n v="28.9627418"/>
        <n v="6.586062113"/>
        <n v="9.975784507"/>
        <n v="0.3545396865"/>
        <n v="9.287349919"/>
        <n v="0.8495593511"/>
        <n v="5.263549601"/>
        <n v="1.447541688"/>
        <n v="0.8921603495"/>
        <n v="5.671978717"/>
        <n v="26.67001975"/>
        <n v="4.985880842"/>
        <n v="27.28286"/>
        <n v="0.1861521591"/>
        <n v="9.54187005"/>
        <n v="1.595436949"/>
        <n v="2.772736186"/>
        <n v="11.29007067"/>
        <n v="1.938311229"/>
        <n v="2.023078075"/>
        <n v="13.44122447"/>
        <n v="0.2376091086"/>
        <n v="2.856486137"/>
        <n v="26.74071964"/>
        <n v="0.6219963766"/>
        <n v="1.156425878"/>
        <n v="4.979399343"/>
        <n v="0.1265490039"/>
        <n v="3.822279525"/>
        <n v="0.8554746335"/>
        <n v="4.983602562"/>
        <n v="0.8147213297"/>
      </sharedItems>
    </cacheField>
    <cacheField name="wat_unimp_n">
      <sharedItems containsMixedTypes="1" containsNumber="1">
        <n v="0.2923233459"/>
        <n v="2.989123822"/>
        <n v="4.691072596"/>
        <n v="1.922517378"/>
        <n v="8.6"/>
        <n v="0.9"/>
        <n v="0.0"/>
        <n v="0.856712639"/>
        <n v="0.0283897827"/>
        <n v="0.3424544984"/>
        <n v="0.1356164384"/>
        <n v="7.286105507E-4"/>
        <n v="0.2262283415"/>
        <n v="0.03997402585"/>
        <n v="0.09685998294"/>
        <n v="0.925"/>
        <n v="1.281732624"/>
        <n v="0.3874218777"/>
        <n v="17.95217953"/>
        <n v="0.3048"/>
        <n v="1.296503269"/>
        <n v="1.418623428"/>
        <n v="0.4435199284"/>
        <n v="3.628820295"/>
        <n v="0.6946794278"/>
        <n v="1.217949005"/>
        <n v="6.217783652"/>
        <n v="2.794650015E-6"/>
        <n v="0.1580292158"/>
        <n v="0.3489347411"/>
        <n v="0.1968739613"/>
        <n v="0.09996320036"/>
        <n v="0.407510705"/>
        <n v="3.209147716"/>
        <n v="0.3793365073"/>
        <n v="0.1200674649"/>
        <n v="0.592312011"/>
        <n v="21.26784313"/>
        <n v="0.1764242183"/>
        <n v="1.143069849"/>
        <n v="3.318602766"/>
        <n v="7.015876051"/>
        <n v="9.835567931"/>
        <n v="0.2348268167"/>
        <n v="0.1337453014"/>
        <n v="8.360029397"/>
        <n v="0.4092182232"/>
        <n v="0.5350981037"/>
        <n v="26.6263769"/>
        <n v="0.5"/>
        <n v="0.5742284762"/>
        <n v="12.21725464"/>
        <n v="6.922808357"/>
        <n v="1.732526476"/>
        <n v="10.35285207"/>
        <n v="3.740143722"/>
        <n v="1.98665276"/>
        <n v="3.047305081"/>
        <n v="0.4318980637"/>
        <n v="1.864010203"/>
        <n v="0.02881930801"/>
        <n v="6.633366714"/>
        <n v="0.06243843752"/>
        <n v="2.632761379"/>
        <n v="7.910260997"/>
        <s v="NAN"/>
        <n v="2.262304247"/>
        <n v="14.82032681"/>
        <n v="33.53911377"/>
        <n v="2.600293485"/>
        <n v="3.488080869"/>
        <n v="3.594451897E-6"/>
        <n v="1.089623295"/>
        <n v="0.2604052036"/>
        <n v="4.503407453E-6"/>
        <n v="9.559180722"/>
        <n v="0.3151739969"/>
        <n v="1.8656487"/>
        <n v="13.53053114"/>
        <n v="0.1084762012"/>
        <n v="0.9885830607"/>
        <n v="3.4229177E-6"/>
        <n v="10.62886799"/>
        <n v="15.5639457"/>
        <n v="14.16432245"/>
        <n v="0.4437204778"/>
        <n v="22.15762495"/>
        <n v="0.09315436837"/>
        <n v="3.421857005"/>
        <n v="2.527244192E-6"/>
        <n v="0.034404"/>
        <n v="3.885158264"/>
        <n v="0.1731323735"/>
        <n v="2.913842688"/>
        <n v="0.08800633369"/>
        <n v="0.8536474704"/>
        <n v="0.1194083325"/>
        <n v="1.269428783"/>
        <n v="13.53755519"/>
        <n v="1.252811506"/>
        <n v="23.49014795"/>
        <n v="3.554796791E-6"/>
        <n v="1.575010843"/>
        <n v="0.8253403378"/>
        <n v="14.75825969"/>
        <n v="21.97254088"/>
        <n v="13.15480415"/>
        <n v="6.296119406"/>
        <n v="16.27785545"/>
        <n v="13.41704303"/>
        <n v="31.56245714"/>
        <n v="5.677218558"/>
        <n v="12.60781566"/>
        <n v="7.12408621E-7"/>
        <n v="0.2004120542"/>
        <n v="2.604485389"/>
        <n v="3.215911815"/>
        <n v="21.57684071"/>
        <n v="2.545956934"/>
        <n v="1.277139333E-6"/>
        <n v="5.776304407"/>
        <n v="12.24697135"/>
        <n v="21.15863263"/>
        <n v="5.348927064"/>
        <n v="27.02751244"/>
        <n v="0.03018817873"/>
        <n v="5.20969278"/>
        <n v="14.19244161"/>
        <n v="15.00100626"/>
        <n v="32.31145967"/>
        <n v="5.843416373"/>
        <n v="4.699081176"/>
        <n v="7.77785276"/>
        <n v="2.812216176"/>
        <n v="16.72614511"/>
        <n v="2.545553241"/>
        <n v="19.45082534"/>
        <n v="4.150468349"/>
        <n v="0.22384422"/>
        <n v="2.8776725"/>
        <n v="0.7781893369"/>
        <n v="0.03340844529"/>
        <n v="14.56026288"/>
        <n v="2.427900808E-6"/>
        <n v="0.07590450129"/>
        <n v="3.650217875"/>
        <n v="0.5318366638"/>
        <n v="12.16590654"/>
        <n v="0.07438739142"/>
        <n v="0.9536162228"/>
        <n v="0.06860335296"/>
        <n v="9.780087524"/>
        <n v="5.10942478"/>
        <n v="1.410816657"/>
        <n v="14.51775136"/>
        <n v="0.08296592591"/>
        <n v="1.49610841E-6"/>
        <n v="1.43853282E-6"/>
        <n v="0.5137973631"/>
        <n v="0.7376749545"/>
        <n v="32.54231607"/>
        <n v="3.115643126"/>
        <n v="0.3222149265"/>
        <n v="3.034479307"/>
        <n v="18.63506013"/>
        <n v="0.9210875467"/>
        <n v="0.3204317169"/>
        <n v="2.38545555"/>
        <n v="0.4626557002"/>
        <n v="11.79691148"/>
        <n v="0.5525980099"/>
        <n v="4.413307574"/>
        <n v="5.553871666"/>
        <n v="0.1164733182"/>
        <n v="3.963153945"/>
        <n v="4.725451938"/>
      </sharedItems>
    </cacheField>
    <cacheField name="wat_sur_n">
      <sharedItems containsMixedTypes="1" containsNumber="1">
        <n v="0.0"/>
        <n v="0.2227520679"/>
        <n v="1.09204193"/>
        <s v="NAN"/>
        <n v="7.706424202"/>
        <n v="0.1170950144"/>
        <n v="0.563784884"/>
        <n v="0.005292650894"/>
        <n v="5.635653025"/>
        <n v="0.04964054142"/>
        <n v="2.096878897"/>
        <n v="2.380331999"/>
        <n v="2.176722038"/>
        <n v="9.904293959"/>
        <n v="4.258503433"/>
        <n v="0.3221395192"/>
        <n v="0.04796159706"/>
        <n v="5.200780116"/>
        <n v="1.330871481"/>
        <n v="0.1093493927"/>
        <n v="4.902192485"/>
        <n v="1.738474379"/>
        <n v="5.724579081"/>
        <n v="0.01909892327"/>
        <n v="1.491670799"/>
        <n v="0.02173203433"/>
        <n v="3.576110708"/>
        <n v="12.54947006"/>
        <n v="0.03015021745"/>
        <n v="6.195135664"/>
        <n v="1.530987366"/>
        <n v="4.534311965"/>
        <n v="3.254069378"/>
        <n v="0.5845310938"/>
        <n v="11.64645233"/>
        <n v="11.18652269"/>
        <n v="0.01655092647"/>
        <n v="30.36979308"/>
        <n v="12.15736404"/>
        <n v="0.05983483179"/>
        <n v="1.576720644"/>
        <n v="8.084554762"/>
        <n v="0.2731077963"/>
        <n v="4.898326997"/>
        <n v="3.594924913"/>
        <n v="3.295800547"/>
        <n v="4.109975401"/>
        <n v="8.460500354"/>
        <n v="6.858147242"/>
        <n v="2.401784021"/>
        <n v="7.509718784"/>
        <n v="9.200674434"/>
        <n v="0.09972904042"/>
        <n v="2.032299589"/>
        <n v="1.743509404"/>
        <n v="6.856836706"/>
        <n v="0.07764770471"/>
        <n v="2.22515211"/>
        <n v="1.35100309"/>
        <n v="0.3535095024"/>
        <n v="1.82803542"/>
        <n v="4.406791392"/>
        <n v="0.2633330058"/>
        <n v="5.963066293"/>
        <n v="6.403826927"/>
        <n v="11.58468244"/>
        <n v="1.246551314"/>
        <n v="2.595835594"/>
        <n v="4.810725058"/>
        <n v="9.928644759"/>
        <n v="14.09408712"/>
        <n v="1.860606087"/>
        <n v="1.947370925"/>
        <n v="1.456433219"/>
        <n v="8.900782174"/>
        <n v="0.7479339713"/>
        <n v="0.323834836"/>
        <n v="9.231086774"/>
        <n v="0.04495253272"/>
        <n v="4.696184252"/>
        <n v="1.368574512"/>
        <n v="19.04515084"/>
        <n v="9.576946362"/>
        <n v="1.931389712"/>
        <n v="13.47538038"/>
        <n v="0.06525508185"/>
        <n v="0.2249778093"/>
        <n v="8.064332495"/>
        <n v="5.008647486"/>
        <n v="0.6829581735"/>
        <n v="5.614635794"/>
        <n v="1.61544782"/>
        <n v="1.175304087"/>
        <n v="0.5637184626"/>
        <n v="0.198716144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G7" firstHeaderRow="0" firstDataRow="2" firstDataCol="0"/>
  <pivotFields>
    <pivotField name="income_group" axis="axisRow" compact="0" outline="0" multipleItemSelectionAllowed="1" showAll="0" sortType="ascending">
      <items>
        <item x="0"/>
        <item x="4"/>
        <item x="3"/>
        <item x="2"/>
        <item x="1"/>
        <item t="default"/>
      </items>
    </pivotField>
    <pivotField name="po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wat_bas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wat_su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</pivotFields>
  <rowFields>
    <field x="0"/>
  </rowFields>
  <colFields>
    <field x="-2"/>
  </colFields>
  <dataFields>
    <dataField name="SUM of pop_n" fld="1" baseField="0"/>
    <dataField name="AVERAGE of pop_u" fld="2" subtotal="average" baseField="0"/>
    <dataField name="AVERAGE of wat_bas_n" fld="3" subtotal="average" baseField="0"/>
    <dataField name="AVERAGE of wat_lim_n" fld="4" subtotal="average" baseField="0"/>
    <dataField name="AVERAGE of wat_unimp_n" fld="5" subtotal="average" baseField="0"/>
    <dataField name="AVERAGE of wat_sur_n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>
        <v>1.350000024</v>
      </c>
      <c r="D2" s="1">
        <v>0.0</v>
      </c>
      <c r="E2" s="1">
        <v>99.70767665</v>
      </c>
      <c r="F2" s="1">
        <v>0.0</v>
      </c>
      <c r="G2" s="1">
        <v>0.2923233459</v>
      </c>
      <c r="H2" s="1">
        <v>0.0</v>
      </c>
      <c r="I2" s="1">
        <v>99.70767665</v>
      </c>
      <c r="J2" s="1">
        <v>0.0</v>
      </c>
      <c r="K2" s="1">
        <v>0.2923233459</v>
      </c>
      <c r="L2" s="1">
        <v>0.0</v>
      </c>
      <c r="M2" s="1" t="s">
        <v>19</v>
      </c>
      <c r="N2" s="1" t="s">
        <v>19</v>
      </c>
      <c r="O2" s="1" t="s">
        <v>19</v>
      </c>
      <c r="P2" s="1" t="s">
        <v>19</v>
      </c>
      <c r="Q2" s="2">
        <f t="shared" ref="Q2:Q214" si="1">COUNTA(A2:P2)</f>
        <v>16</v>
      </c>
      <c r="R2" s="2">
        <f t="shared" ref="R2:R214" si="2">COUNT(A2:P2)</f>
        <v>10</v>
      </c>
    </row>
    <row r="3">
      <c r="A3" s="1" t="s">
        <v>20</v>
      </c>
      <c r="B3" s="1" t="s">
        <v>19</v>
      </c>
      <c r="C3" s="1">
        <v>1.618000031</v>
      </c>
      <c r="D3" s="1">
        <v>46.20200348</v>
      </c>
      <c r="E3" s="1">
        <v>97.01087618</v>
      </c>
      <c r="F3" s="1">
        <v>0.0</v>
      </c>
      <c r="G3" s="1">
        <v>2.989123822</v>
      </c>
      <c r="H3" s="1">
        <v>0.0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  <c r="Q3" s="2">
        <f t="shared" si="1"/>
        <v>16</v>
      </c>
      <c r="R3" s="2">
        <f t="shared" si="2"/>
        <v>6</v>
      </c>
    </row>
    <row r="4">
      <c r="A4" s="1" t="s">
        <v>21</v>
      </c>
      <c r="B4" s="1" t="s">
        <v>19</v>
      </c>
      <c r="C4" s="1">
        <v>3.48300004</v>
      </c>
      <c r="D4" s="1">
        <v>78.50799561</v>
      </c>
      <c r="E4" s="1">
        <v>95.3089274</v>
      </c>
      <c r="F4" s="1">
        <v>0.0</v>
      </c>
      <c r="G4" s="1">
        <v>4.691072596</v>
      </c>
      <c r="H4" s="1">
        <v>0.0</v>
      </c>
      <c r="I4" s="1">
        <v>78.17294282</v>
      </c>
      <c r="J4" s="1">
        <v>0.0</v>
      </c>
      <c r="K4" s="1">
        <v>21.82705718</v>
      </c>
      <c r="L4" s="1">
        <v>0.0</v>
      </c>
      <c r="M4" s="1">
        <v>100.0</v>
      </c>
      <c r="N4" s="1">
        <v>0.0</v>
      </c>
      <c r="O4" s="1">
        <v>0.0</v>
      </c>
      <c r="P4" s="1">
        <v>0.0</v>
      </c>
      <c r="Q4" s="2">
        <f t="shared" si="1"/>
        <v>16</v>
      </c>
      <c r="R4" s="2">
        <f t="shared" si="2"/>
        <v>14</v>
      </c>
    </row>
    <row r="5">
      <c r="A5" s="1" t="s">
        <v>22</v>
      </c>
      <c r="B5" s="1" t="s">
        <v>19</v>
      </c>
      <c r="C5" s="1">
        <v>4.999000072</v>
      </c>
      <c r="D5" s="1">
        <v>9.114999771</v>
      </c>
      <c r="E5" s="1">
        <v>98.07748262</v>
      </c>
      <c r="F5" s="1">
        <v>0.0</v>
      </c>
      <c r="G5" s="1">
        <v>1.922517378</v>
      </c>
      <c r="H5" s="1">
        <v>0.0</v>
      </c>
      <c r="I5" s="1" t="s">
        <v>19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19</v>
      </c>
      <c r="O5" s="1" t="s">
        <v>19</v>
      </c>
      <c r="P5" s="1" t="s">
        <v>19</v>
      </c>
      <c r="Q5" s="2">
        <f t="shared" si="1"/>
        <v>16</v>
      </c>
      <c r="R5" s="2">
        <f t="shared" si="2"/>
        <v>6</v>
      </c>
    </row>
    <row r="6">
      <c r="A6" s="1" t="s">
        <v>23</v>
      </c>
      <c r="B6" s="1" t="s">
        <v>19</v>
      </c>
      <c r="C6" s="1">
        <v>5.795000076</v>
      </c>
      <c r="D6" s="1">
        <v>89.96199799</v>
      </c>
      <c r="E6" s="1">
        <v>91.4</v>
      </c>
      <c r="F6" s="1">
        <v>0.0</v>
      </c>
      <c r="G6" s="1">
        <v>8.6</v>
      </c>
      <c r="H6" s="1">
        <v>0.0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2">
        <f t="shared" si="1"/>
        <v>16</v>
      </c>
      <c r="R6" s="2">
        <f t="shared" si="2"/>
        <v>6</v>
      </c>
    </row>
    <row r="7">
      <c r="A7" s="1" t="s">
        <v>24</v>
      </c>
      <c r="B7" s="1" t="s">
        <v>19</v>
      </c>
      <c r="C7" s="1">
        <v>6.071000099</v>
      </c>
      <c r="D7" s="1">
        <v>40.08200073</v>
      </c>
      <c r="E7" s="1">
        <v>99.1</v>
      </c>
      <c r="F7" s="1">
        <v>0.0</v>
      </c>
      <c r="G7" s="1">
        <v>0.9</v>
      </c>
      <c r="H7" s="1">
        <v>0.0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19</v>
      </c>
      <c r="P7" s="1" t="s">
        <v>19</v>
      </c>
      <c r="Q7" s="2">
        <f t="shared" si="1"/>
        <v>16</v>
      </c>
      <c r="R7" s="2">
        <f t="shared" si="2"/>
        <v>6</v>
      </c>
    </row>
    <row r="8">
      <c r="A8" s="1" t="s">
        <v>25</v>
      </c>
      <c r="B8" s="1" t="s">
        <v>19</v>
      </c>
      <c r="C8" s="1">
        <v>9.885</v>
      </c>
      <c r="D8" s="1">
        <v>100.0</v>
      </c>
      <c r="E8" s="1">
        <v>100.0</v>
      </c>
      <c r="F8" s="1">
        <v>0.0</v>
      </c>
      <c r="G8" s="1">
        <v>0.0</v>
      </c>
      <c r="H8" s="1">
        <v>0.0</v>
      </c>
      <c r="I8" s="1" t="s">
        <v>19</v>
      </c>
      <c r="J8" s="1" t="s">
        <v>19</v>
      </c>
      <c r="K8" s="1" t="s">
        <v>19</v>
      </c>
      <c r="L8" s="1" t="s">
        <v>19</v>
      </c>
      <c r="M8" s="1">
        <v>100.0</v>
      </c>
      <c r="N8" s="1">
        <v>0.0</v>
      </c>
      <c r="O8" s="1">
        <v>0.0</v>
      </c>
      <c r="P8" s="1">
        <v>0.0</v>
      </c>
      <c r="Q8" s="2">
        <f t="shared" si="1"/>
        <v>16</v>
      </c>
      <c r="R8" s="2">
        <f t="shared" si="2"/>
        <v>10</v>
      </c>
    </row>
    <row r="9">
      <c r="A9" s="1" t="s">
        <v>26</v>
      </c>
      <c r="B9" s="1">
        <v>4.0</v>
      </c>
      <c r="C9" s="1">
        <v>10.83399963</v>
      </c>
      <c r="D9" s="1">
        <v>100.0</v>
      </c>
      <c r="E9" s="1">
        <v>100.0</v>
      </c>
      <c r="F9" s="1">
        <v>0.0</v>
      </c>
      <c r="G9" s="1">
        <v>0.0</v>
      </c>
      <c r="H9" s="1">
        <v>0.0</v>
      </c>
      <c r="I9" s="1" t="s">
        <v>19</v>
      </c>
      <c r="J9" s="1" t="s">
        <v>19</v>
      </c>
      <c r="K9" s="1" t="s">
        <v>19</v>
      </c>
      <c r="L9" s="1" t="s">
        <v>19</v>
      </c>
      <c r="M9" s="1">
        <v>100.0</v>
      </c>
      <c r="N9" s="1">
        <v>0.0</v>
      </c>
      <c r="O9" s="1">
        <v>0.0</v>
      </c>
      <c r="P9" s="1">
        <v>0.0</v>
      </c>
      <c r="Q9" s="2">
        <f t="shared" si="1"/>
        <v>16</v>
      </c>
      <c r="R9" s="2">
        <f t="shared" si="2"/>
        <v>11</v>
      </c>
    </row>
    <row r="10">
      <c r="A10" s="1" t="s">
        <v>27</v>
      </c>
      <c r="B10" s="1" t="s">
        <v>19</v>
      </c>
      <c r="C10" s="1">
        <v>11.24600029</v>
      </c>
      <c r="D10" s="1">
        <v>0.0</v>
      </c>
      <c r="E10" s="1">
        <v>99.14328736</v>
      </c>
      <c r="F10" s="1">
        <v>0.0</v>
      </c>
      <c r="G10" s="1">
        <v>0.856712639</v>
      </c>
      <c r="H10" s="1">
        <v>0.0</v>
      </c>
      <c r="I10" s="1">
        <v>99.14328736</v>
      </c>
      <c r="J10" s="1">
        <v>0.0</v>
      </c>
      <c r="K10" s="1">
        <v>0.856712639</v>
      </c>
      <c r="L10" s="1">
        <v>0.0</v>
      </c>
      <c r="M10" s="1" t="s">
        <v>19</v>
      </c>
      <c r="N10" s="1" t="s">
        <v>19</v>
      </c>
      <c r="O10" s="1" t="s">
        <v>19</v>
      </c>
      <c r="P10" s="1" t="s">
        <v>19</v>
      </c>
      <c r="Q10" s="2">
        <f t="shared" si="1"/>
        <v>16</v>
      </c>
      <c r="R10" s="2">
        <f t="shared" si="2"/>
        <v>10</v>
      </c>
    </row>
    <row r="11">
      <c r="A11" s="1" t="s">
        <v>28</v>
      </c>
      <c r="B11" s="1">
        <v>3.0</v>
      </c>
      <c r="C11" s="1">
        <v>11.79199982</v>
      </c>
      <c r="D11" s="1">
        <v>64.01399994</v>
      </c>
      <c r="E11" s="1">
        <v>100.0</v>
      </c>
      <c r="F11" s="1">
        <v>0.0</v>
      </c>
      <c r="G11" s="1">
        <v>0.0</v>
      </c>
      <c r="H11" s="1">
        <v>0.0</v>
      </c>
      <c r="I11" s="1">
        <v>100.0</v>
      </c>
      <c r="J11" s="1">
        <v>0.0</v>
      </c>
      <c r="K11" s="1">
        <v>0.0</v>
      </c>
      <c r="L11" s="1">
        <v>0.0</v>
      </c>
      <c r="M11" s="1">
        <v>100.0</v>
      </c>
      <c r="N11" s="1">
        <v>0.0</v>
      </c>
      <c r="O11" s="1">
        <v>0.0</v>
      </c>
      <c r="P11" s="1">
        <v>0.0</v>
      </c>
      <c r="Q11" s="2">
        <f t="shared" si="1"/>
        <v>16</v>
      </c>
      <c r="R11" s="2">
        <f t="shared" si="2"/>
        <v>15</v>
      </c>
    </row>
    <row r="12">
      <c r="A12" s="1" t="s">
        <v>29</v>
      </c>
      <c r="B12" s="1" t="s">
        <v>19</v>
      </c>
      <c r="C12" s="1">
        <v>17.56399918</v>
      </c>
      <c r="D12" s="1">
        <v>75.49500275</v>
      </c>
      <c r="E12" s="1">
        <v>99.97161022</v>
      </c>
      <c r="F12" s="1">
        <v>0.0</v>
      </c>
      <c r="G12" s="1">
        <v>0.0283897827</v>
      </c>
      <c r="H12" s="1">
        <v>0.0</v>
      </c>
      <c r="I12" s="1" t="s">
        <v>19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19</v>
      </c>
      <c r="O12" s="1" t="s">
        <v>19</v>
      </c>
      <c r="P12" s="1" t="s">
        <v>19</v>
      </c>
      <c r="Q12" s="2">
        <f t="shared" si="1"/>
        <v>16</v>
      </c>
      <c r="R12" s="2">
        <f t="shared" si="2"/>
        <v>6</v>
      </c>
    </row>
    <row r="13">
      <c r="A13" s="1" t="s">
        <v>30</v>
      </c>
      <c r="B13" s="1">
        <v>3.0</v>
      </c>
      <c r="C13" s="1">
        <v>18.09199905</v>
      </c>
      <c r="D13" s="1">
        <v>80.98799896</v>
      </c>
      <c r="E13" s="1">
        <v>99.6575455</v>
      </c>
      <c r="F13" s="1">
        <v>0.0</v>
      </c>
      <c r="G13" s="1">
        <v>0.3424544984</v>
      </c>
      <c r="H13" s="1">
        <v>0.0</v>
      </c>
      <c r="I13" s="1">
        <v>99.75698503</v>
      </c>
      <c r="J13" s="1">
        <v>0.0</v>
      </c>
      <c r="K13" s="1">
        <v>0.2430149677</v>
      </c>
      <c r="L13" s="1">
        <v>0.0</v>
      </c>
      <c r="M13" s="1">
        <v>99.63420199</v>
      </c>
      <c r="N13" s="1">
        <v>0.0</v>
      </c>
      <c r="O13" s="1">
        <v>0.3657980078</v>
      </c>
      <c r="P13" s="1">
        <v>0.0</v>
      </c>
      <c r="Q13" s="2">
        <f t="shared" si="1"/>
        <v>16</v>
      </c>
      <c r="R13" s="2">
        <f t="shared" si="2"/>
        <v>15</v>
      </c>
    </row>
    <row r="14">
      <c r="A14" s="1" t="s">
        <v>31</v>
      </c>
      <c r="B14" s="1">
        <v>4.0</v>
      </c>
      <c r="C14" s="1">
        <v>30.23699951</v>
      </c>
      <c r="D14" s="1">
        <v>48.51499939</v>
      </c>
      <c r="E14" s="1">
        <v>99.86438356</v>
      </c>
      <c r="F14" s="1">
        <v>0.0</v>
      </c>
      <c r="G14" s="1">
        <v>0.1356164384</v>
      </c>
      <c r="H14" s="1">
        <v>0.0</v>
      </c>
      <c r="I14" s="1" t="s">
        <v>19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19</v>
      </c>
      <c r="O14" s="1" t="s">
        <v>19</v>
      </c>
      <c r="P14" s="1" t="s">
        <v>19</v>
      </c>
      <c r="Q14" s="2">
        <f t="shared" si="1"/>
        <v>16</v>
      </c>
      <c r="R14" s="2">
        <f t="shared" si="2"/>
        <v>7</v>
      </c>
    </row>
    <row r="15">
      <c r="A15" s="1" t="s">
        <v>32</v>
      </c>
      <c r="B15" s="1">
        <v>4.0</v>
      </c>
      <c r="C15" s="1">
        <v>33.69100189</v>
      </c>
      <c r="D15" s="1">
        <v>100.0</v>
      </c>
      <c r="E15" s="1">
        <v>100.0</v>
      </c>
      <c r="F15" s="1">
        <v>0.0</v>
      </c>
      <c r="G15" s="1">
        <v>0.0</v>
      </c>
      <c r="H15" s="1">
        <v>0.0</v>
      </c>
      <c r="I15" s="1" t="s">
        <v>19</v>
      </c>
      <c r="J15" s="1" t="s">
        <v>19</v>
      </c>
      <c r="K15" s="1" t="s">
        <v>19</v>
      </c>
      <c r="L15" s="1" t="s">
        <v>19</v>
      </c>
      <c r="M15" s="1">
        <v>100.0</v>
      </c>
      <c r="N15" s="1">
        <v>0.0</v>
      </c>
      <c r="O15" s="1">
        <v>0.0</v>
      </c>
      <c r="P15" s="1">
        <v>0.0</v>
      </c>
      <c r="Q15" s="2">
        <f t="shared" si="1"/>
        <v>16</v>
      </c>
      <c r="R15" s="2">
        <f t="shared" si="2"/>
        <v>11</v>
      </c>
    </row>
    <row r="16">
      <c r="A16" s="1" t="s">
        <v>33</v>
      </c>
      <c r="B16" s="1">
        <v>4.0</v>
      </c>
      <c r="C16" s="1">
        <v>33.93799973</v>
      </c>
      <c r="D16" s="1">
        <v>97.49900055</v>
      </c>
      <c r="E16" s="1">
        <v>100.0</v>
      </c>
      <c r="F16" s="1">
        <v>0.0</v>
      </c>
      <c r="G16" s="1">
        <v>0.0</v>
      </c>
      <c r="H16" s="1">
        <v>0.0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19</v>
      </c>
      <c r="O16" s="1" t="s">
        <v>19</v>
      </c>
      <c r="P16" s="1" t="s">
        <v>19</v>
      </c>
      <c r="Q16" s="2">
        <f t="shared" si="1"/>
        <v>16</v>
      </c>
      <c r="R16" s="2">
        <f t="shared" si="2"/>
        <v>7</v>
      </c>
    </row>
    <row r="17">
      <c r="A17" s="1" t="s">
        <v>34</v>
      </c>
      <c r="B17" s="1">
        <v>4.0</v>
      </c>
      <c r="C17" s="1">
        <v>38.13700104</v>
      </c>
      <c r="D17" s="1">
        <v>14.41600037</v>
      </c>
      <c r="E17" s="1">
        <v>100.0</v>
      </c>
      <c r="F17" s="1">
        <v>0.0</v>
      </c>
      <c r="G17" s="1">
        <v>0.0</v>
      </c>
      <c r="H17" s="1">
        <v>0.0</v>
      </c>
      <c r="I17" s="1" t="s">
        <v>19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19</v>
      </c>
      <c r="O17" s="1" t="s">
        <v>19</v>
      </c>
      <c r="P17" s="1" t="s">
        <v>19</v>
      </c>
      <c r="Q17" s="2">
        <f t="shared" si="1"/>
        <v>16</v>
      </c>
      <c r="R17" s="2">
        <f t="shared" si="2"/>
        <v>7</v>
      </c>
    </row>
    <row r="18">
      <c r="A18" s="1" t="s">
        <v>35</v>
      </c>
      <c r="B18" s="1">
        <v>4.0</v>
      </c>
      <c r="C18" s="1">
        <v>38.659</v>
      </c>
      <c r="D18" s="1">
        <v>100.0</v>
      </c>
      <c r="E18" s="1">
        <v>99.99927139</v>
      </c>
      <c r="F18" s="1">
        <v>0.0</v>
      </c>
      <c r="G18" s="1">
        <v>7.286105507E-4</v>
      </c>
      <c r="H18" s="1">
        <v>0.0</v>
      </c>
      <c r="I18" s="1" t="s">
        <v>19</v>
      </c>
      <c r="J18" s="1" t="s">
        <v>19</v>
      </c>
      <c r="K18" s="1" t="s">
        <v>19</v>
      </c>
      <c r="L18" s="1" t="s">
        <v>19</v>
      </c>
      <c r="M18" s="1">
        <v>99.99927139</v>
      </c>
      <c r="N18" s="1">
        <v>0.0</v>
      </c>
      <c r="O18" s="1">
        <v>7.286105507E-4</v>
      </c>
      <c r="P18" s="1">
        <v>0.0</v>
      </c>
      <c r="Q18" s="2">
        <f t="shared" si="1"/>
        <v>16</v>
      </c>
      <c r="R18" s="2">
        <f t="shared" si="2"/>
        <v>11</v>
      </c>
    </row>
    <row r="19">
      <c r="A19" s="1" t="s">
        <v>36</v>
      </c>
      <c r="B19" s="1">
        <v>4.0</v>
      </c>
      <c r="C19" s="1">
        <v>39.24399948</v>
      </c>
      <c r="D19" s="1">
        <v>100.0</v>
      </c>
      <c r="E19" s="1">
        <v>100.0</v>
      </c>
      <c r="F19" s="1">
        <v>0.0</v>
      </c>
      <c r="G19" s="1">
        <v>0.0</v>
      </c>
      <c r="H19" s="1">
        <v>0.0</v>
      </c>
      <c r="I19" s="1" t="s">
        <v>19</v>
      </c>
      <c r="J19" s="1" t="s">
        <v>19</v>
      </c>
      <c r="K19" s="1" t="s">
        <v>19</v>
      </c>
      <c r="L19" s="1" t="s">
        <v>19</v>
      </c>
      <c r="M19" s="1">
        <v>100.0</v>
      </c>
      <c r="N19" s="1">
        <v>0.0</v>
      </c>
      <c r="O19" s="1">
        <v>0.0</v>
      </c>
      <c r="P19" s="1">
        <v>0.0</v>
      </c>
      <c r="Q19" s="2">
        <f t="shared" si="1"/>
        <v>16</v>
      </c>
      <c r="R19" s="2">
        <f t="shared" si="2"/>
        <v>11</v>
      </c>
    </row>
    <row r="20">
      <c r="A20" s="1" t="s">
        <v>37</v>
      </c>
      <c r="B20" s="1">
        <v>4.0</v>
      </c>
      <c r="C20" s="1">
        <v>48.86500168</v>
      </c>
      <c r="D20" s="1">
        <v>42.39799881</v>
      </c>
      <c r="E20" s="1">
        <v>100.0</v>
      </c>
      <c r="F20" s="1">
        <v>0.0</v>
      </c>
      <c r="G20" s="1">
        <v>0.0</v>
      </c>
      <c r="H20" s="1">
        <v>0.0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19</v>
      </c>
      <c r="O20" s="1" t="s">
        <v>19</v>
      </c>
      <c r="P20" s="1" t="s">
        <v>19</v>
      </c>
      <c r="Q20" s="2">
        <f t="shared" si="1"/>
        <v>16</v>
      </c>
      <c r="R20" s="2">
        <f t="shared" si="2"/>
        <v>7</v>
      </c>
    </row>
    <row r="21">
      <c r="A21" s="1" t="s">
        <v>38</v>
      </c>
      <c r="B21" s="1">
        <v>3.0</v>
      </c>
      <c r="C21" s="1">
        <v>55.1969986</v>
      </c>
      <c r="D21" s="1">
        <v>87.15299988</v>
      </c>
      <c r="E21" s="1">
        <v>99.77377166</v>
      </c>
      <c r="F21" s="1">
        <v>0.0</v>
      </c>
      <c r="G21" s="1">
        <v>0.2262283415</v>
      </c>
      <c r="H21" s="1">
        <v>0.0</v>
      </c>
      <c r="I21" s="1" t="s">
        <v>19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19</v>
      </c>
      <c r="O21" s="1" t="s">
        <v>19</v>
      </c>
      <c r="P21" s="1" t="s">
        <v>19</v>
      </c>
      <c r="Q21" s="2">
        <f t="shared" si="1"/>
        <v>16</v>
      </c>
      <c r="R21" s="2">
        <f t="shared" si="2"/>
        <v>7</v>
      </c>
    </row>
    <row r="22">
      <c r="A22" s="1" t="s">
        <v>39</v>
      </c>
      <c r="B22" s="1">
        <v>4.0</v>
      </c>
      <c r="C22" s="1">
        <v>56.77199936</v>
      </c>
      <c r="D22" s="1">
        <v>87.28200531</v>
      </c>
      <c r="E22" s="1">
        <v>100.0000017</v>
      </c>
      <c r="F22" s="1">
        <v>0.0</v>
      </c>
      <c r="G22" s="1">
        <v>0.0</v>
      </c>
      <c r="H22" s="1">
        <v>0.0</v>
      </c>
      <c r="I22" s="1">
        <v>100.0</v>
      </c>
      <c r="J22" s="1">
        <v>0.0</v>
      </c>
      <c r="K22" s="1">
        <v>0.0</v>
      </c>
      <c r="L22" s="1">
        <v>0.0</v>
      </c>
      <c r="M22" s="1">
        <v>100.0</v>
      </c>
      <c r="N22" s="1">
        <v>0.0</v>
      </c>
      <c r="O22" s="1">
        <v>0.0</v>
      </c>
      <c r="P22" s="1">
        <v>0.0</v>
      </c>
      <c r="Q22" s="2">
        <f t="shared" si="1"/>
        <v>16</v>
      </c>
      <c r="R22" s="2">
        <f t="shared" si="2"/>
        <v>15</v>
      </c>
    </row>
    <row r="23">
      <c r="A23" s="1" t="s">
        <v>40</v>
      </c>
      <c r="B23" s="1">
        <v>4.0</v>
      </c>
      <c r="C23" s="1">
        <v>57.55699921</v>
      </c>
      <c r="D23" s="1">
        <v>91.79799652</v>
      </c>
      <c r="E23" s="1">
        <v>100.0</v>
      </c>
      <c r="F23" s="1">
        <v>0.0</v>
      </c>
      <c r="G23" s="1">
        <v>0.0</v>
      </c>
      <c r="H23" s="1">
        <v>0.0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19</v>
      </c>
      <c r="O23" s="1" t="s">
        <v>19</v>
      </c>
      <c r="P23" s="1" t="s">
        <v>19</v>
      </c>
      <c r="Q23" s="2">
        <f t="shared" si="1"/>
        <v>16</v>
      </c>
      <c r="R23" s="2">
        <f t="shared" si="2"/>
        <v>7</v>
      </c>
    </row>
    <row r="24">
      <c r="A24" s="1" t="s">
        <v>41</v>
      </c>
      <c r="B24" s="1">
        <v>3.0</v>
      </c>
      <c r="C24" s="1">
        <v>59.19400024</v>
      </c>
      <c r="D24" s="1">
        <v>77.79399109</v>
      </c>
      <c r="E24" s="1">
        <v>88.57204698</v>
      </c>
      <c r="F24" s="1">
        <v>11.387979</v>
      </c>
      <c r="G24" s="1">
        <v>0.03997402585</v>
      </c>
      <c r="H24" s="1">
        <v>0.0</v>
      </c>
      <c r="I24" s="1">
        <v>94.42972</v>
      </c>
      <c r="J24" s="1">
        <v>5.39028</v>
      </c>
      <c r="K24" s="1">
        <v>0.18</v>
      </c>
      <c r="L24" s="1">
        <v>0.0</v>
      </c>
      <c r="M24" s="1">
        <v>86.9</v>
      </c>
      <c r="N24" s="1">
        <v>13.1</v>
      </c>
      <c r="O24" s="1">
        <v>0.0</v>
      </c>
      <c r="P24" s="1">
        <v>0.0</v>
      </c>
      <c r="Q24" s="2">
        <f t="shared" si="1"/>
        <v>16</v>
      </c>
      <c r="R24" s="2">
        <f t="shared" si="2"/>
        <v>15</v>
      </c>
    </row>
    <row r="25">
      <c r="A25" s="1" t="s">
        <v>42</v>
      </c>
      <c r="B25" s="1">
        <v>4.0</v>
      </c>
      <c r="C25" s="1">
        <v>62.27299881</v>
      </c>
      <c r="D25" s="1">
        <v>100.0</v>
      </c>
      <c r="E25" s="1">
        <v>99.90314002</v>
      </c>
      <c r="F25" s="1">
        <v>0.0</v>
      </c>
      <c r="G25" s="1">
        <v>0.09685998294</v>
      </c>
      <c r="H25" s="1">
        <v>0.0</v>
      </c>
      <c r="I25" s="1" t="s">
        <v>19</v>
      </c>
      <c r="J25" s="1" t="s">
        <v>19</v>
      </c>
      <c r="K25" s="1" t="s">
        <v>19</v>
      </c>
      <c r="L25" s="1" t="s">
        <v>19</v>
      </c>
      <c r="M25" s="1">
        <v>99.90314002</v>
      </c>
      <c r="N25" s="1">
        <v>0.0</v>
      </c>
      <c r="O25" s="1">
        <v>0.09685998294</v>
      </c>
      <c r="P25" s="1">
        <v>0.0</v>
      </c>
      <c r="Q25" s="2">
        <f t="shared" si="1"/>
        <v>16</v>
      </c>
      <c r="R25" s="2">
        <f t="shared" si="2"/>
        <v>11</v>
      </c>
    </row>
    <row r="26">
      <c r="A26" s="1" t="s">
        <v>43</v>
      </c>
      <c r="B26" s="1">
        <v>4.0</v>
      </c>
      <c r="C26" s="1">
        <v>77.26499939</v>
      </c>
      <c r="D26" s="1">
        <v>87.91600037</v>
      </c>
      <c r="E26" s="1">
        <v>100.0000037</v>
      </c>
      <c r="F26" s="1">
        <v>0.0</v>
      </c>
      <c r="G26" s="1">
        <v>0.0</v>
      </c>
      <c r="H26" s="1">
        <v>0.0</v>
      </c>
      <c r="I26" s="1">
        <v>100.0</v>
      </c>
      <c r="J26" s="1">
        <v>0.0</v>
      </c>
      <c r="K26" s="1">
        <v>0.0</v>
      </c>
      <c r="L26" s="1">
        <v>0.0</v>
      </c>
      <c r="M26" s="1">
        <v>100.0</v>
      </c>
      <c r="N26" s="1">
        <v>0.0</v>
      </c>
      <c r="O26" s="1">
        <v>0.0</v>
      </c>
      <c r="P26" s="1">
        <v>0.0</v>
      </c>
      <c r="Q26" s="2">
        <f t="shared" si="1"/>
        <v>16</v>
      </c>
      <c r="R26" s="2">
        <f t="shared" si="2"/>
        <v>15</v>
      </c>
    </row>
    <row r="27">
      <c r="A27" s="1" t="s">
        <v>44</v>
      </c>
      <c r="B27" s="1">
        <v>4.0</v>
      </c>
      <c r="C27" s="1">
        <v>85.03199768</v>
      </c>
      <c r="D27" s="1">
        <v>52.89800262</v>
      </c>
      <c r="E27" s="1">
        <v>99.075</v>
      </c>
      <c r="F27" s="1">
        <v>0.0</v>
      </c>
      <c r="G27" s="1">
        <v>0.925</v>
      </c>
      <c r="H27" s="1">
        <v>0.0</v>
      </c>
      <c r="I27" s="1" t="s">
        <v>19</v>
      </c>
      <c r="J27" s="1" t="s">
        <v>19</v>
      </c>
      <c r="K27" s="1" t="s">
        <v>19</v>
      </c>
      <c r="L27" s="1" t="s">
        <v>19</v>
      </c>
      <c r="M27" s="1" t="s">
        <v>19</v>
      </c>
      <c r="N27" s="1" t="s">
        <v>19</v>
      </c>
      <c r="O27" s="1" t="s">
        <v>19</v>
      </c>
      <c r="P27" s="1" t="s">
        <v>19</v>
      </c>
      <c r="Q27" s="2">
        <f t="shared" si="1"/>
        <v>16</v>
      </c>
      <c r="R27" s="2">
        <f t="shared" si="2"/>
        <v>7</v>
      </c>
    </row>
    <row r="28">
      <c r="A28" s="1" t="s">
        <v>45</v>
      </c>
      <c r="B28" s="1">
        <v>4.0</v>
      </c>
      <c r="C28" s="1">
        <v>104.4229965</v>
      </c>
      <c r="D28" s="1">
        <v>95.93900299</v>
      </c>
      <c r="E28" s="1">
        <v>98.71826738</v>
      </c>
      <c r="F28" s="1">
        <v>0.0</v>
      </c>
      <c r="G28" s="1">
        <v>1.281732624</v>
      </c>
      <c r="H28" s="1">
        <v>0.0</v>
      </c>
      <c r="I28" s="1" t="s">
        <v>19</v>
      </c>
      <c r="J28" s="1" t="s">
        <v>19</v>
      </c>
      <c r="K28" s="1" t="s">
        <v>19</v>
      </c>
      <c r="L28" s="1" t="s">
        <v>19</v>
      </c>
      <c r="M28" s="1" t="s">
        <v>19</v>
      </c>
      <c r="N28" s="1" t="s">
        <v>19</v>
      </c>
      <c r="O28" s="1" t="s">
        <v>19</v>
      </c>
      <c r="P28" s="1" t="s">
        <v>19</v>
      </c>
      <c r="Q28" s="2">
        <f t="shared" si="1"/>
        <v>16</v>
      </c>
      <c r="R28" s="2">
        <f t="shared" si="2"/>
        <v>7</v>
      </c>
    </row>
    <row r="29">
      <c r="A29" s="1" t="s">
        <v>46</v>
      </c>
      <c r="B29" s="1">
        <v>3.0</v>
      </c>
      <c r="C29" s="1">
        <v>105.6969986</v>
      </c>
      <c r="D29" s="1">
        <v>23.09899902</v>
      </c>
      <c r="E29" s="1">
        <v>98.73108083</v>
      </c>
      <c r="F29" s="1">
        <v>0.8814972962</v>
      </c>
      <c r="G29" s="1">
        <v>0.3874218777</v>
      </c>
      <c r="H29" s="1">
        <v>0.0</v>
      </c>
      <c r="I29" s="1">
        <v>98.46807854</v>
      </c>
      <c r="J29" s="1">
        <v>1.103159706</v>
      </c>
      <c r="K29" s="1">
        <v>0.4287617551</v>
      </c>
      <c r="L29" s="1">
        <v>0.0</v>
      </c>
      <c r="M29" s="1">
        <v>99.60665819</v>
      </c>
      <c r="N29" s="1">
        <v>0.143540536</v>
      </c>
      <c r="O29" s="1">
        <v>0.2498012758</v>
      </c>
      <c r="P29" s="1">
        <v>0.0</v>
      </c>
      <c r="Q29" s="2">
        <f t="shared" si="1"/>
        <v>16</v>
      </c>
      <c r="R29" s="2">
        <f t="shared" si="2"/>
        <v>15</v>
      </c>
    </row>
    <row r="30">
      <c r="A30" s="1" t="s">
        <v>47</v>
      </c>
      <c r="B30" s="1">
        <v>2.0</v>
      </c>
      <c r="C30" s="1">
        <v>119.4459991</v>
      </c>
      <c r="D30" s="1">
        <v>55.59399796</v>
      </c>
      <c r="E30" s="1">
        <v>77.97092085</v>
      </c>
      <c r="F30" s="1">
        <v>4.076899625</v>
      </c>
      <c r="G30" s="1">
        <v>17.95217953</v>
      </c>
      <c r="H30" s="1">
        <v>0.0</v>
      </c>
      <c r="I30" s="1">
        <v>60.99418489</v>
      </c>
      <c r="J30" s="1">
        <v>2.096609799</v>
      </c>
      <c r="K30" s="1">
        <v>36.90920532</v>
      </c>
      <c r="L30" s="1">
        <v>0.0</v>
      </c>
      <c r="M30" s="1">
        <v>91.53117485</v>
      </c>
      <c r="N30" s="1">
        <v>5.658666461</v>
      </c>
      <c r="O30" s="1">
        <v>2.810158691</v>
      </c>
      <c r="P30" s="1">
        <v>0.0</v>
      </c>
      <c r="Q30" s="2">
        <f t="shared" si="1"/>
        <v>16</v>
      </c>
      <c r="R30" s="2">
        <f t="shared" si="2"/>
        <v>15</v>
      </c>
    </row>
    <row r="31">
      <c r="A31" s="1" t="s">
        <v>48</v>
      </c>
      <c r="B31" s="1">
        <v>4.0</v>
      </c>
      <c r="C31" s="1">
        <v>168.7830048</v>
      </c>
      <c r="D31" s="1">
        <v>94.93800354</v>
      </c>
      <c r="E31" s="1">
        <v>99.6952</v>
      </c>
      <c r="F31" s="1">
        <v>0.0</v>
      </c>
      <c r="G31" s="1">
        <v>0.3048</v>
      </c>
      <c r="H31" s="1">
        <v>0.0</v>
      </c>
      <c r="I31" s="1" t="s">
        <v>19</v>
      </c>
      <c r="J31" s="1" t="s">
        <v>19</v>
      </c>
      <c r="K31" s="1" t="s">
        <v>19</v>
      </c>
      <c r="L31" s="1" t="s">
        <v>19</v>
      </c>
      <c r="M31" s="1" t="s">
        <v>19</v>
      </c>
      <c r="N31" s="1" t="s">
        <v>19</v>
      </c>
      <c r="O31" s="1" t="s">
        <v>19</v>
      </c>
      <c r="P31" s="1" t="s">
        <v>19</v>
      </c>
      <c r="Q31" s="2">
        <f t="shared" si="1"/>
        <v>16</v>
      </c>
      <c r="R31" s="2">
        <f t="shared" si="2"/>
        <v>7</v>
      </c>
    </row>
    <row r="32">
      <c r="A32" s="1" t="s">
        <v>49</v>
      </c>
      <c r="B32" s="1">
        <v>3.0</v>
      </c>
      <c r="C32" s="1">
        <v>183.6289978</v>
      </c>
      <c r="D32" s="1">
        <v>18.8409996</v>
      </c>
      <c r="E32" s="1">
        <v>96.88784457</v>
      </c>
      <c r="F32" s="1">
        <v>1.815652166</v>
      </c>
      <c r="G32" s="1">
        <v>1.296503269</v>
      </c>
      <c r="H32" s="1">
        <v>0.0</v>
      </c>
      <c r="I32" s="1">
        <v>96.81402383</v>
      </c>
      <c r="J32" s="1">
        <v>1.734152255</v>
      </c>
      <c r="K32" s="1">
        <v>1.451823918</v>
      </c>
      <c r="L32" s="1">
        <v>0.0</v>
      </c>
      <c r="M32" s="1">
        <v>97.20582219</v>
      </c>
      <c r="N32" s="1">
        <v>2.166718886</v>
      </c>
      <c r="O32" s="1">
        <v>0.6274589237</v>
      </c>
      <c r="P32" s="1">
        <v>0.0</v>
      </c>
      <c r="Q32" s="2">
        <f t="shared" si="1"/>
        <v>16</v>
      </c>
      <c r="R32" s="2">
        <f t="shared" si="2"/>
        <v>15</v>
      </c>
    </row>
    <row r="33">
      <c r="A33" s="1" t="s">
        <v>50</v>
      </c>
      <c r="B33" s="1">
        <v>2.0</v>
      </c>
      <c r="C33" s="1">
        <v>198.4100037</v>
      </c>
      <c r="D33" s="1">
        <v>17.88899994</v>
      </c>
      <c r="E33" s="1">
        <v>91.83772455</v>
      </c>
      <c r="F33" s="1">
        <v>6.520899952</v>
      </c>
      <c r="G33" s="1">
        <v>1.418623428</v>
      </c>
      <c r="H33" s="1">
        <v>0.2227520679</v>
      </c>
      <c r="I33" s="1">
        <v>91.78032287</v>
      </c>
      <c r="J33" s="1">
        <v>6.220703339</v>
      </c>
      <c r="K33" s="1">
        <v>1.72769216</v>
      </c>
      <c r="L33" s="1">
        <v>0.2712816327</v>
      </c>
      <c r="M33" s="1">
        <v>92.10119</v>
      </c>
      <c r="N33" s="1">
        <v>7.89881</v>
      </c>
      <c r="O33" s="1">
        <v>0.0</v>
      </c>
      <c r="P33" s="1">
        <v>0.0</v>
      </c>
      <c r="Q33" s="2">
        <f t="shared" si="1"/>
        <v>16</v>
      </c>
      <c r="R33" s="2">
        <f t="shared" si="2"/>
        <v>15</v>
      </c>
    </row>
    <row r="34">
      <c r="A34" s="1" t="s">
        <v>51</v>
      </c>
      <c r="B34" s="1">
        <v>2.0</v>
      </c>
      <c r="C34" s="1">
        <v>219.1609955</v>
      </c>
      <c r="D34" s="1">
        <v>74.35400391</v>
      </c>
      <c r="E34" s="1">
        <v>78.22645516</v>
      </c>
      <c r="F34" s="1">
        <v>20.23798298</v>
      </c>
      <c r="G34" s="1">
        <v>0.4435199284</v>
      </c>
      <c r="H34" s="1">
        <v>1.09204193</v>
      </c>
      <c r="I34" s="1">
        <v>74.30061449</v>
      </c>
      <c r="J34" s="1">
        <v>19.71184258</v>
      </c>
      <c r="K34" s="1">
        <v>1.729405704</v>
      </c>
      <c r="L34" s="1">
        <v>4.258137228</v>
      </c>
      <c r="M34" s="1">
        <v>79.5805429</v>
      </c>
      <c r="N34" s="1">
        <v>20.4194571</v>
      </c>
      <c r="O34" s="1">
        <v>0.0</v>
      </c>
      <c r="P34" s="1">
        <v>0.0</v>
      </c>
      <c r="Q34" s="2">
        <f t="shared" si="1"/>
        <v>16</v>
      </c>
      <c r="R34" s="2">
        <f t="shared" si="2"/>
        <v>15</v>
      </c>
    </row>
    <row r="35">
      <c r="A35" s="1" t="s">
        <v>52</v>
      </c>
      <c r="B35" s="1" t="s">
        <v>19</v>
      </c>
      <c r="C35" s="1">
        <v>272.8129883</v>
      </c>
      <c r="D35" s="1">
        <v>45.75099945</v>
      </c>
      <c r="E35" s="1">
        <v>96.37117971</v>
      </c>
      <c r="F35" s="1">
        <v>0.0</v>
      </c>
      <c r="G35" s="1">
        <v>3.628820295</v>
      </c>
      <c r="H35" s="1" t="s">
        <v>19</v>
      </c>
      <c r="I35" s="1" t="s">
        <v>19</v>
      </c>
      <c r="J35" s="1" t="s">
        <v>19</v>
      </c>
      <c r="K35" s="1" t="s">
        <v>19</v>
      </c>
      <c r="L35" s="1" t="s">
        <v>19</v>
      </c>
      <c r="M35" s="1" t="s">
        <v>19</v>
      </c>
      <c r="N35" s="1" t="s">
        <v>19</v>
      </c>
      <c r="O35" s="1" t="s">
        <v>19</v>
      </c>
      <c r="P35" s="1" t="s">
        <v>19</v>
      </c>
      <c r="Q35" s="2">
        <f t="shared" si="1"/>
        <v>16</v>
      </c>
      <c r="R35" s="2">
        <f t="shared" si="2"/>
        <v>5</v>
      </c>
    </row>
    <row r="36">
      <c r="A36" s="1" t="s">
        <v>53</v>
      </c>
      <c r="B36" s="1">
        <v>4.0</v>
      </c>
      <c r="C36" s="1">
        <v>280.9039917</v>
      </c>
      <c r="D36" s="1">
        <v>61.97500229</v>
      </c>
      <c r="E36" s="1">
        <v>100.0</v>
      </c>
      <c r="F36" s="1">
        <v>0.0</v>
      </c>
      <c r="G36" s="1">
        <v>0.0</v>
      </c>
      <c r="H36" s="1">
        <v>0.0</v>
      </c>
      <c r="I36" s="1" t="s">
        <v>19</v>
      </c>
      <c r="J36" s="1" t="s">
        <v>19</v>
      </c>
      <c r="K36" s="1" t="s">
        <v>19</v>
      </c>
      <c r="L36" s="1" t="s">
        <v>19</v>
      </c>
      <c r="M36" s="1" t="s">
        <v>19</v>
      </c>
      <c r="N36" s="1" t="s">
        <v>19</v>
      </c>
      <c r="O36" s="1" t="s">
        <v>19</v>
      </c>
      <c r="P36" s="1" t="s">
        <v>19</v>
      </c>
      <c r="Q36" s="2">
        <f t="shared" si="1"/>
        <v>16</v>
      </c>
      <c r="R36" s="2">
        <f t="shared" si="2"/>
        <v>7</v>
      </c>
    </row>
    <row r="37">
      <c r="A37" s="1" t="s">
        <v>54</v>
      </c>
      <c r="B37" s="1">
        <v>4.0</v>
      </c>
      <c r="C37" s="1">
        <v>285.4909973</v>
      </c>
      <c r="D37" s="1">
        <v>71.51799774</v>
      </c>
      <c r="E37" s="1">
        <v>99.30532057</v>
      </c>
      <c r="F37" s="1">
        <v>0.0</v>
      </c>
      <c r="G37" s="1">
        <v>0.6946794278</v>
      </c>
      <c r="H37" s="1">
        <v>0.0</v>
      </c>
      <c r="I37" s="1" t="s">
        <v>19</v>
      </c>
      <c r="J37" s="1" t="s">
        <v>19</v>
      </c>
      <c r="K37" s="1" t="s">
        <v>19</v>
      </c>
      <c r="L37" s="1" t="s">
        <v>19</v>
      </c>
      <c r="M37" s="1" t="s">
        <v>19</v>
      </c>
      <c r="N37" s="1" t="s">
        <v>19</v>
      </c>
      <c r="O37" s="1" t="s">
        <v>19</v>
      </c>
      <c r="P37" s="1" t="s">
        <v>19</v>
      </c>
      <c r="Q37" s="2">
        <f t="shared" si="1"/>
        <v>16</v>
      </c>
      <c r="R37" s="2">
        <f t="shared" si="2"/>
        <v>7</v>
      </c>
    </row>
    <row r="38">
      <c r="A38" s="1" t="s">
        <v>55</v>
      </c>
      <c r="B38" s="1">
        <v>4.0</v>
      </c>
      <c r="C38" s="1">
        <v>287.3710022</v>
      </c>
      <c r="D38" s="1">
        <v>31.19099998</v>
      </c>
      <c r="E38" s="1">
        <v>98.51445042</v>
      </c>
      <c r="F38" s="1">
        <v>0.2676005761</v>
      </c>
      <c r="G38" s="1">
        <v>1.217949005</v>
      </c>
      <c r="H38" s="1">
        <v>0.0</v>
      </c>
      <c r="I38" s="1" t="s">
        <v>19</v>
      </c>
      <c r="J38" s="1" t="s">
        <v>19</v>
      </c>
      <c r="K38" s="1" t="s">
        <v>19</v>
      </c>
      <c r="L38" s="1" t="s">
        <v>19</v>
      </c>
      <c r="M38" s="1" t="s">
        <v>19</v>
      </c>
      <c r="N38" s="1" t="s">
        <v>19</v>
      </c>
      <c r="O38" s="1" t="s">
        <v>19</v>
      </c>
      <c r="P38" s="1" t="s">
        <v>19</v>
      </c>
      <c r="Q38" s="2">
        <f t="shared" si="1"/>
        <v>16</v>
      </c>
      <c r="R38" s="2">
        <f t="shared" si="2"/>
        <v>7</v>
      </c>
    </row>
    <row r="39">
      <c r="A39" s="1" t="s">
        <v>56</v>
      </c>
      <c r="B39" s="1" t="s">
        <v>19</v>
      </c>
      <c r="C39" s="1">
        <v>298.6820068</v>
      </c>
      <c r="D39" s="1">
        <v>85.81999969</v>
      </c>
      <c r="E39" s="1">
        <v>93.78221635</v>
      </c>
      <c r="F39" s="1">
        <v>0.0</v>
      </c>
      <c r="G39" s="1">
        <v>6.217783652</v>
      </c>
      <c r="H39" s="1">
        <v>0.0</v>
      </c>
      <c r="I39" s="1" t="s">
        <v>19</v>
      </c>
      <c r="J39" s="1" t="s">
        <v>19</v>
      </c>
      <c r="K39" s="1" t="s">
        <v>19</v>
      </c>
      <c r="L39" s="1" t="s">
        <v>19</v>
      </c>
      <c r="M39" s="1" t="s">
        <v>19</v>
      </c>
      <c r="N39" s="1" t="s">
        <v>19</v>
      </c>
      <c r="O39" s="1" t="s">
        <v>19</v>
      </c>
      <c r="P39" s="1" t="s">
        <v>19</v>
      </c>
      <c r="Q39" s="2">
        <f t="shared" si="1"/>
        <v>16</v>
      </c>
      <c r="R39" s="2">
        <f t="shared" si="2"/>
        <v>6</v>
      </c>
    </row>
    <row r="40">
      <c r="A40" s="1" t="s">
        <v>57</v>
      </c>
      <c r="B40" s="1">
        <v>2.0</v>
      </c>
      <c r="C40" s="1">
        <v>307.1499939</v>
      </c>
      <c r="D40" s="1">
        <v>25.52500153</v>
      </c>
      <c r="E40" s="1">
        <v>91.23119075</v>
      </c>
      <c r="F40" s="1">
        <v>1.06238505</v>
      </c>
      <c r="G40" s="1">
        <v>0.0</v>
      </c>
      <c r="H40" s="1">
        <v>7.706424202</v>
      </c>
      <c r="I40" s="1">
        <v>88.39720123</v>
      </c>
      <c r="J40" s="1">
        <v>1.255132675</v>
      </c>
      <c r="K40" s="1">
        <v>0.0</v>
      </c>
      <c r="L40" s="1">
        <v>10.3476661</v>
      </c>
      <c r="M40" s="1">
        <v>99.5</v>
      </c>
      <c r="N40" s="1">
        <v>0.5</v>
      </c>
      <c r="O40" s="1">
        <v>0.0</v>
      </c>
      <c r="P40" s="1">
        <v>0.0</v>
      </c>
      <c r="Q40" s="2">
        <f t="shared" si="1"/>
        <v>16</v>
      </c>
      <c r="R40" s="2">
        <f t="shared" si="2"/>
        <v>15</v>
      </c>
    </row>
    <row r="41">
      <c r="A41" s="1" t="s">
        <v>58</v>
      </c>
      <c r="B41" s="1">
        <v>4.0</v>
      </c>
      <c r="C41" s="1">
        <v>341.25</v>
      </c>
      <c r="D41" s="1">
        <v>93.897995</v>
      </c>
      <c r="E41" s="1">
        <v>99.99999721</v>
      </c>
      <c r="F41" s="1">
        <v>0.0</v>
      </c>
      <c r="G41" s="1">
        <v>2.794650015E-6</v>
      </c>
      <c r="H41" s="1">
        <v>0.0</v>
      </c>
      <c r="I41" s="1">
        <v>100.0</v>
      </c>
      <c r="J41" s="1">
        <v>0.0</v>
      </c>
      <c r="K41" s="1">
        <v>0.0</v>
      </c>
      <c r="L41" s="1">
        <v>0.0</v>
      </c>
      <c r="M41" s="1">
        <v>100.0</v>
      </c>
      <c r="N41" s="1">
        <v>0.0</v>
      </c>
      <c r="O41" s="1">
        <v>0.0</v>
      </c>
      <c r="P41" s="1">
        <v>0.0</v>
      </c>
      <c r="Q41" s="2">
        <f t="shared" si="1"/>
        <v>16</v>
      </c>
      <c r="R41" s="2">
        <f t="shared" si="2"/>
        <v>15</v>
      </c>
    </row>
    <row r="42">
      <c r="A42" s="1" t="s">
        <v>59</v>
      </c>
      <c r="B42" s="1" t="s">
        <v>19</v>
      </c>
      <c r="C42" s="1">
        <v>375.2650146</v>
      </c>
      <c r="D42" s="1">
        <v>89.13999939</v>
      </c>
      <c r="E42" s="1">
        <v>99.84197078</v>
      </c>
      <c r="F42" s="1">
        <v>0.0</v>
      </c>
      <c r="G42" s="1">
        <v>0.1580292158</v>
      </c>
      <c r="H42" s="1">
        <v>0.0</v>
      </c>
      <c r="I42" s="1" t="s">
        <v>19</v>
      </c>
      <c r="J42" s="1" t="s">
        <v>19</v>
      </c>
      <c r="K42" s="1" t="s">
        <v>19</v>
      </c>
      <c r="L42" s="1" t="s">
        <v>19</v>
      </c>
      <c r="M42" s="1" t="s">
        <v>19</v>
      </c>
      <c r="N42" s="1" t="s">
        <v>19</v>
      </c>
      <c r="O42" s="1" t="s">
        <v>19</v>
      </c>
      <c r="P42" s="1" t="s">
        <v>19</v>
      </c>
      <c r="Q42" s="2">
        <f t="shared" si="1"/>
        <v>16</v>
      </c>
      <c r="R42" s="2">
        <f t="shared" si="2"/>
        <v>6</v>
      </c>
    </row>
    <row r="43">
      <c r="A43" s="1" t="s">
        <v>60</v>
      </c>
      <c r="B43" s="1">
        <v>3.0</v>
      </c>
      <c r="C43" s="1">
        <v>397.6210022</v>
      </c>
      <c r="D43" s="1">
        <v>46.02500153</v>
      </c>
      <c r="E43" s="1">
        <v>98.40195463</v>
      </c>
      <c r="F43" s="1">
        <v>1.249110629</v>
      </c>
      <c r="G43" s="1">
        <v>0.3489347411</v>
      </c>
      <c r="H43" s="1">
        <v>0.0</v>
      </c>
      <c r="I43" s="1">
        <v>97.99520758</v>
      </c>
      <c r="J43" s="1">
        <v>1.358317682</v>
      </c>
      <c r="K43" s="1">
        <v>0.6464747393</v>
      </c>
      <c r="L43" s="1">
        <v>0.0</v>
      </c>
      <c r="M43" s="1">
        <v>98.87896</v>
      </c>
      <c r="N43" s="1">
        <v>1.12104</v>
      </c>
      <c r="O43" s="1">
        <v>0.0</v>
      </c>
      <c r="P43" s="1">
        <v>0.0</v>
      </c>
      <c r="Q43" s="2">
        <f t="shared" si="1"/>
        <v>16</v>
      </c>
      <c r="R43" s="2">
        <f t="shared" si="2"/>
        <v>15</v>
      </c>
    </row>
    <row r="44">
      <c r="A44" s="1" t="s">
        <v>61</v>
      </c>
      <c r="B44" s="1" t="s">
        <v>19</v>
      </c>
      <c r="C44" s="1">
        <v>400.1270142</v>
      </c>
      <c r="D44" s="1">
        <v>98.49899292</v>
      </c>
      <c r="E44" s="1">
        <v>99.80312604</v>
      </c>
      <c r="F44" s="1">
        <v>0.0</v>
      </c>
      <c r="G44" s="1">
        <v>0.1968739613</v>
      </c>
      <c r="H44" s="1">
        <v>0.0</v>
      </c>
      <c r="I44" s="1" t="s">
        <v>19</v>
      </c>
      <c r="J44" s="1" t="s">
        <v>19</v>
      </c>
      <c r="K44" s="1" t="s">
        <v>19</v>
      </c>
      <c r="L44" s="1" t="s">
        <v>19</v>
      </c>
      <c r="M44" s="1" t="s">
        <v>19</v>
      </c>
      <c r="N44" s="1" t="s">
        <v>19</v>
      </c>
      <c r="O44" s="1" t="s">
        <v>19</v>
      </c>
      <c r="P44" s="1" t="s">
        <v>19</v>
      </c>
      <c r="Q44" s="2">
        <f t="shared" si="1"/>
        <v>16</v>
      </c>
      <c r="R44" s="2">
        <f t="shared" si="2"/>
        <v>6</v>
      </c>
    </row>
    <row r="45">
      <c r="A45" s="1" t="s">
        <v>62</v>
      </c>
      <c r="B45" s="1">
        <v>4.0</v>
      </c>
      <c r="C45" s="1">
        <v>437.4830017</v>
      </c>
      <c r="D45" s="1">
        <v>78.25000763</v>
      </c>
      <c r="E45" s="1">
        <v>99.9000368</v>
      </c>
      <c r="F45" s="1">
        <v>0.0</v>
      </c>
      <c r="G45" s="1">
        <v>0.09996320036</v>
      </c>
      <c r="H45" s="1">
        <v>0.0</v>
      </c>
      <c r="I45" s="1" t="s">
        <v>19</v>
      </c>
      <c r="J45" s="1" t="s">
        <v>19</v>
      </c>
      <c r="K45" s="1" t="s">
        <v>19</v>
      </c>
      <c r="L45" s="1" t="s">
        <v>19</v>
      </c>
      <c r="M45" s="1">
        <v>99.65</v>
      </c>
      <c r="N45" s="1">
        <v>0.0</v>
      </c>
      <c r="O45" s="1">
        <v>0.35</v>
      </c>
      <c r="P45" s="1">
        <v>0.0</v>
      </c>
      <c r="Q45" s="2">
        <f t="shared" si="1"/>
        <v>16</v>
      </c>
      <c r="R45" s="2">
        <f t="shared" si="2"/>
        <v>11</v>
      </c>
    </row>
    <row r="46">
      <c r="A46" s="1" t="s">
        <v>63</v>
      </c>
      <c r="B46" s="1">
        <v>4.0</v>
      </c>
      <c r="C46" s="1">
        <v>441.5390015</v>
      </c>
      <c r="D46" s="1">
        <v>94.7440033</v>
      </c>
      <c r="E46" s="1">
        <v>100.0000004</v>
      </c>
      <c r="F46" s="1">
        <v>0.0</v>
      </c>
      <c r="G46" s="1">
        <v>0.0</v>
      </c>
      <c r="H46" s="1">
        <v>0.0</v>
      </c>
      <c r="I46" s="1">
        <v>100.0</v>
      </c>
      <c r="J46" s="1">
        <v>0.0</v>
      </c>
      <c r="K46" s="1">
        <v>0.0</v>
      </c>
      <c r="L46" s="1">
        <v>0.0</v>
      </c>
      <c r="M46" s="1">
        <v>100.0</v>
      </c>
      <c r="N46" s="1">
        <v>0.0</v>
      </c>
      <c r="O46" s="1">
        <v>0.0</v>
      </c>
      <c r="P46" s="1">
        <v>0.0</v>
      </c>
      <c r="Q46" s="2">
        <f t="shared" si="1"/>
        <v>16</v>
      </c>
      <c r="R46" s="2">
        <f t="shared" si="2"/>
        <v>15</v>
      </c>
    </row>
    <row r="47">
      <c r="A47" s="1" t="s">
        <v>64</v>
      </c>
      <c r="B47" s="1">
        <v>3.0</v>
      </c>
      <c r="C47" s="1">
        <v>540.5419922</v>
      </c>
      <c r="D47" s="1">
        <v>40.66899872</v>
      </c>
      <c r="E47" s="1">
        <v>99.5444386</v>
      </c>
      <c r="F47" s="1">
        <v>0.0480506913</v>
      </c>
      <c r="G47" s="1">
        <v>0.407510705</v>
      </c>
      <c r="H47" s="1">
        <v>0.0</v>
      </c>
      <c r="I47" s="1">
        <v>99.9190125</v>
      </c>
      <c r="J47" s="1">
        <v>0.0809875</v>
      </c>
      <c r="K47" s="1">
        <v>0.0</v>
      </c>
      <c r="L47" s="1">
        <v>0.0</v>
      </c>
      <c r="M47" s="1">
        <v>98.99798893</v>
      </c>
      <c r="N47" s="1">
        <v>0.0</v>
      </c>
      <c r="O47" s="1">
        <v>1.002011069</v>
      </c>
      <c r="P47" s="1">
        <v>0.0</v>
      </c>
      <c r="Q47" s="2">
        <f t="shared" si="1"/>
        <v>16</v>
      </c>
      <c r="R47" s="2">
        <f t="shared" si="2"/>
        <v>15</v>
      </c>
    </row>
    <row r="48">
      <c r="A48" s="1" t="s">
        <v>65</v>
      </c>
      <c r="B48" s="1">
        <v>2.0</v>
      </c>
      <c r="C48" s="1">
        <v>555.9879761</v>
      </c>
      <c r="D48" s="1">
        <v>66.65200043</v>
      </c>
      <c r="E48" s="1">
        <v>88.76960642</v>
      </c>
      <c r="F48" s="1">
        <v>7.904150846</v>
      </c>
      <c r="G48" s="1">
        <v>3.209147716</v>
      </c>
      <c r="H48" s="1">
        <v>0.1170950144</v>
      </c>
      <c r="I48" s="1">
        <v>80.11452544</v>
      </c>
      <c r="J48" s="1">
        <v>9.911127022</v>
      </c>
      <c r="K48" s="1">
        <v>9.623217003</v>
      </c>
      <c r="L48" s="1">
        <v>0.3511305397</v>
      </c>
      <c r="M48" s="1">
        <v>93.1</v>
      </c>
      <c r="N48" s="1">
        <v>6.9</v>
      </c>
      <c r="O48" s="1">
        <v>0.0</v>
      </c>
      <c r="P48" s="1">
        <v>0.0</v>
      </c>
      <c r="Q48" s="2">
        <f t="shared" si="1"/>
        <v>16</v>
      </c>
      <c r="R48" s="2">
        <f t="shared" si="2"/>
        <v>15</v>
      </c>
    </row>
    <row r="49">
      <c r="A49" s="1" t="s">
        <v>66</v>
      </c>
      <c r="B49" s="1">
        <v>3.0</v>
      </c>
      <c r="C49" s="1">
        <v>586.6339722</v>
      </c>
      <c r="D49" s="1">
        <v>66.14900208</v>
      </c>
      <c r="E49" s="1">
        <v>97.98963167</v>
      </c>
      <c r="F49" s="1">
        <v>1.067246941</v>
      </c>
      <c r="G49" s="1">
        <v>0.3793365073</v>
      </c>
      <c r="H49" s="1">
        <v>0.563784884</v>
      </c>
      <c r="I49" s="1">
        <v>96.57441263</v>
      </c>
      <c r="J49" s="1">
        <v>1.60029586</v>
      </c>
      <c r="K49" s="1">
        <v>0.1598017947</v>
      </c>
      <c r="L49" s="1">
        <v>1.66548972</v>
      </c>
      <c r="M49" s="1">
        <v>98.71385387</v>
      </c>
      <c r="N49" s="1">
        <v>0.7944652371</v>
      </c>
      <c r="O49" s="1">
        <v>0.4916808925</v>
      </c>
      <c r="P49" s="1">
        <v>0.0</v>
      </c>
      <c r="Q49" s="2">
        <f t="shared" si="1"/>
        <v>16</v>
      </c>
      <c r="R49" s="2">
        <f t="shared" si="2"/>
        <v>15</v>
      </c>
    </row>
    <row r="50">
      <c r="A50" s="1" t="s">
        <v>67</v>
      </c>
      <c r="B50" s="1">
        <v>4.0</v>
      </c>
      <c r="C50" s="1">
        <v>625.9760132</v>
      </c>
      <c r="D50" s="1">
        <v>91.4529953</v>
      </c>
      <c r="E50" s="1">
        <v>99.87993254</v>
      </c>
      <c r="F50" s="1">
        <v>0.0</v>
      </c>
      <c r="G50" s="1">
        <v>0.1200674649</v>
      </c>
      <c r="H50" s="1">
        <v>0.0</v>
      </c>
      <c r="I50" s="1">
        <v>98.5952381</v>
      </c>
      <c r="J50" s="1">
        <v>0.0</v>
      </c>
      <c r="K50" s="1">
        <v>1.404761905</v>
      </c>
      <c r="L50" s="1">
        <v>0.0</v>
      </c>
      <c r="M50" s="1">
        <v>100.0</v>
      </c>
      <c r="N50" s="1">
        <v>0.0</v>
      </c>
      <c r="O50" s="1">
        <v>0.0</v>
      </c>
      <c r="P50" s="1">
        <v>0.0</v>
      </c>
      <c r="Q50" s="2">
        <f t="shared" si="1"/>
        <v>16</v>
      </c>
      <c r="R50" s="2">
        <f t="shared" si="2"/>
        <v>15</v>
      </c>
    </row>
    <row r="51">
      <c r="A51" s="1" t="s">
        <v>68</v>
      </c>
      <c r="B51" s="1">
        <v>3.0</v>
      </c>
      <c r="C51" s="1">
        <v>628.0620117</v>
      </c>
      <c r="D51" s="1">
        <v>67.48800659</v>
      </c>
      <c r="E51" s="1">
        <v>98.85691652</v>
      </c>
      <c r="F51" s="1">
        <v>0.5454788204</v>
      </c>
      <c r="G51" s="1">
        <v>0.592312011</v>
      </c>
      <c r="H51" s="1">
        <v>0.005292650894</v>
      </c>
      <c r="I51" s="1">
        <v>98.16188754</v>
      </c>
      <c r="J51" s="1">
        <v>0.0</v>
      </c>
      <c r="K51" s="1">
        <v>1.821833386</v>
      </c>
      <c r="L51" s="1">
        <v>0.01627906977</v>
      </c>
      <c r="M51" s="1">
        <v>99.19173959</v>
      </c>
      <c r="N51" s="1">
        <v>0.8082604128</v>
      </c>
      <c r="O51" s="1">
        <v>0.0</v>
      </c>
      <c r="P51" s="1">
        <v>0.0</v>
      </c>
      <c r="Q51" s="2">
        <f t="shared" si="1"/>
        <v>16</v>
      </c>
      <c r="R51" s="2">
        <f t="shared" si="2"/>
        <v>15</v>
      </c>
    </row>
    <row r="52">
      <c r="A52" s="1" t="s">
        <v>69</v>
      </c>
      <c r="B52" s="1">
        <v>4.0</v>
      </c>
      <c r="C52" s="1">
        <v>649.34198</v>
      </c>
      <c r="D52" s="1">
        <v>100.0</v>
      </c>
      <c r="E52" s="1">
        <v>100.0</v>
      </c>
      <c r="F52" s="1">
        <v>0.0</v>
      </c>
      <c r="G52" s="1">
        <v>0.0</v>
      </c>
      <c r="H52" s="1">
        <v>0.0</v>
      </c>
      <c r="I52" s="1" t="s">
        <v>19</v>
      </c>
      <c r="J52" s="1" t="s">
        <v>19</v>
      </c>
      <c r="K52" s="1" t="s">
        <v>19</v>
      </c>
      <c r="L52" s="1" t="s">
        <v>19</v>
      </c>
      <c r="M52" s="1">
        <v>100.0</v>
      </c>
      <c r="N52" s="1">
        <v>0.0</v>
      </c>
      <c r="O52" s="1">
        <v>0.0</v>
      </c>
      <c r="P52" s="1">
        <v>0.0</v>
      </c>
      <c r="Q52" s="2">
        <f t="shared" si="1"/>
        <v>16</v>
      </c>
      <c r="R52" s="2">
        <f t="shared" si="2"/>
        <v>11</v>
      </c>
    </row>
    <row r="53">
      <c r="A53" s="1" t="s">
        <v>70</v>
      </c>
      <c r="B53" s="1">
        <v>2.0</v>
      </c>
      <c r="C53" s="1">
        <v>686.8779907</v>
      </c>
      <c r="D53" s="1">
        <v>24.67000008</v>
      </c>
      <c r="E53" s="1">
        <v>67.30102554</v>
      </c>
      <c r="F53" s="1">
        <v>5.79547831</v>
      </c>
      <c r="G53" s="1">
        <v>21.26784313</v>
      </c>
      <c r="H53" s="1">
        <v>5.635653025</v>
      </c>
      <c r="I53" s="1">
        <v>59.40526749</v>
      </c>
      <c r="J53" s="1">
        <v>6.528523649</v>
      </c>
      <c r="K53" s="1">
        <v>26.955911</v>
      </c>
      <c r="L53" s="1">
        <v>7.110297857</v>
      </c>
      <c r="M53" s="1">
        <v>91.41077689</v>
      </c>
      <c r="N53" s="1">
        <v>3.557120425</v>
      </c>
      <c r="O53" s="1">
        <v>3.899286137</v>
      </c>
      <c r="P53" s="1">
        <v>1.132816553</v>
      </c>
      <c r="Q53" s="2">
        <f t="shared" si="1"/>
        <v>16</v>
      </c>
      <c r="R53" s="2">
        <f t="shared" si="2"/>
        <v>15</v>
      </c>
    </row>
    <row r="54">
      <c r="A54" s="1" t="s">
        <v>71</v>
      </c>
      <c r="B54" s="1">
        <v>2.0</v>
      </c>
      <c r="C54" s="1">
        <v>771.6119995</v>
      </c>
      <c r="D54" s="1">
        <v>42.31599808</v>
      </c>
      <c r="E54" s="1">
        <v>97.31322263</v>
      </c>
      <c r="F54" s="1">
        <v>2.460712607</v>
      </c>
      <c r="G54" s="1">
        <v>0.1764242183</v>
      </c>
      <c r="H54" s="1">
        <v>0.04964054142</v>
      </c>
      <c r="I54" s="1">
        <v>96.73119365</v>
      </c>
      <c r="J54" s="1">
        <v>3.268806351</v>
      </c>
      <c r="K54" s="1">
        <v>0.0</v>
      </c>
      <c r="L54" s="1">
        <v>0.0</v>
      </c>
      <c r="M54" s="1">
        <v>98.10662849</v>
      </c>
      <c r="N54" s="1">
        <v>1.3591415</v>
      </c>
      <c r="O54" s="1">
        <v>0.4169208475</v>
      </c>
      <c r="P54" s="1">
        <v>0.1173091586</v>
      </c>
      <c r="Q54" s="2">
        <f t="shared" si="1"/>
        <v>16</v>
      </c>
      <c r="R54" s="2">
        <f t="shared" si="2"/>
        <v>15</v>
      </c>
    </row>
    <row r="55">
      <c r="A55" s="1" t="s">
        <v>72</v>
      </c>
      <c r="B55" s="1">
        <v>3.0</v>
      </c>
      <c r="C55" s="1">
        <v>786.559021</v>
      </c>
      <c r="D55" s="1">
        <v>26.7859993</v>
      </c>
      <c r="E55" s="1">
        <v>95.55480685</v>
      </c>
      <c r="F55" s="1">
        <v>1.205244408</v>
      </c>
      <c r="G55" s="1">
        <v>1.143069849</v>
      </c>
      <c r="H55" s="1">
        <v>2.096878897</v>
      </c>
      <c r="I55" s="1">
        <v>93.9284905</v>
      </c>
      <c r="J55" s="1">
        <v>1.646193862</v>
      </c>
      <c r="K55" s="1">
        <v>1.561274833</v>
      </c>
      <c r="L55" s="1">
        <v>2.864040809</v>
      </c>
      <c r="M55" s="1">
        <v>100.0</v>
      </c>
      <c r="N55" s="1">
        <v>0.0</v>
      </c>
      <c r="O55" s="1">
        <v>0.0</v>
      </c>
      <c r="P55" s="1">
        <v>0.0</v>
      </c>
      <c r="Q55" s="2">
        <f t="shared" si="1"/>
        <v>16</v>
      </c>
      <c r="R55" s="2">
        <f t="shared" si="2"/>
        <v>15</v>
      </c>
    </row>
    <row r="56">
      <c r="A56" s="1" t="s">
        <v>73</v>
      </c>
      <c r="B56" s="1" t="s">
        <v>19</v>
      </c>
      <c r="C56" s="1">
        <v>895.3079834</v>
      </c>
      <c r="D56" s="1">
        <v>99.65900421</v>
      </c>
      <c r="E56" s="1">
        <v>100.0</v>
      </c>
      <c r="F56" s="1">
        <v>0.0</v>
      </c>
      <c r="G56" s="1">
        <v>0.0</v>
      </c>
      <c r="H56" s="1">
        <v>0.0</v>
      </c>
      <c r="I56" s="1" t="s">
        <v>19</v>
      </c>
      <c r="J56" s="1" t="s">
        <v>19</v>
      </c>
      <c r="K56" s="1" t="s">
        <v>19</v>
      </c>
      <c r="L56" s="1" t="s">
        <v>19</v>
      </c>
      <c r="M56" s="1" t="s">
        <v>19</v>
      </c>
      <c r="N56" s="1" t="s">
        <v>19</v>
      </c>
      <c r="O56" s="1" t="s">
        <v>19</v>
      </c>
      <c r="P56" s="1" t="s">
        <v>19</v>
      </c>
      <c r="Q56" s="2">
        <f t="shared" si="1"/>
        <v>16</v>
      </c>
      <c r="R56" s="2">
        <f t="shared" si="2"/>
        <v>6</v>
      </c>
    </row>
    <row r="57">
      <c r="A57" s="1" t="s">
        <v>74</v>
      </c>
      <c r="B57" s="1">
        <v>3.0</v>
      </c>
      <c r="C57" s="1">
        <v>896.4439697</v>
      </c>
      <c r="D57" s="1">
        <v>57.24700546</v>
      </c>
      <c r="E57" s="1">
        <v>94.30106524</v>
      </c>
      <c r="F57" s="1">
        <v>0.0</v>
      </c>
      <c r="G57" s="1">
        <v>3.318602766</v>
      </c>
      <c r="H57" s="1">
        <v>2.380331999</v>
      </c>
      <c r="I57" s="1">
        <v>89.08802405</v>
      </c>
      <c r="J57" s="1">
        <v>0.0</v>
      </c>
      <c r="K57" s="1">
        <v>5.759897938</v>
      </c>
      <c r="L57" s="1">
        <v>5.152078012</v>
      </c>
      <c r="M57" s="1">
        <v>98.19424406</v>
      </c>
      <c r="N57" s="1">
        <v>0.0</v>
      </c>
      <c r="O57" s="1">
        <v>1.495409344</v>
      </c>
      <c r="P57" s="1">
        <v>0.3103465922</v>
      </c>
      <c r="Q57" s="2">
        <f t="shared" si="1"/>
        <v>16</v>
      </c>
      <c r="R57" s="2">
        <f t="shared" si="2"/>
        <v>15</v>
      </c>
    </row>
    <row r="58">
      <c r="A58" s="1" t="s">
        <v>75</v>
      </c>
      <c r="B58" s="1">
        <v>2.0</v>
      </c>
      <c r="C58" s="1">
        <v>988.0020142</v>
      </c>
      <c r="D58" s="1">
        <v>78.06199646</v>
      </c>
      <c r="E58" s="1">
        <v>76.04992021</v>
      </c>
      <c r="F58" s="1">
        <v>14.7574817</v>
      </c>
      <c r="G58" s="1">
        <v>7.015876051</v>
      </c>
      <c r="H58" s="1">
        <v>2.176722038</v>
      </c>
      <c r="I58" s="1">
        <v>47.28073293</v>
      </c>
      <c r="J58" s="1">
        <v>12.06161014</v>
      </c>
      <c r="K58" s="1">
        <v>30.73550468</v>
      </c>
      <c r="L58" s="1">
        <v>9.922152249</v>
      </c>
      <c r="M58" s="1">
        <v>84.13501493</v>
      </c>
      <c r="N58" s="1">
        <v>15.51511107</v>
      </c>
      <c r="O58" s="1">
        <v>0.3498740029</v>
      </c>
      <c r="P58" s="1">
        <v>0.0</v>
      </c>
      <c r="Q58" s="2">
        <f t="shared" si="1"/>
        <v>16</v>
      </c>
      <c r="R58" s="2">
        <f t="shared" si="2"/>
        <v>15</v>
      </c>
    </row>
    <row r="59">
      <c r="A59" s="1" t="s">
        <v>76</v>
      </c>
      <c r="B59" s="1">
        <v>2.0</v>
      </c>
      <c r="C59" s="1">
        <v>1160.16394</v>
      </c>
      <c r="D59" s="1">
        <v>24.17100143</v>
      </c>
      <c r="E59" s="1">
        <v>70.75307095</v>
      </c>
      <c r="F59" s="1">
        <v>9.507067163</v>
      </c>
      <c r="G59" s="1">
        <v>9.835567931</v>
      </c>
      <c r="H59" s="1">
        <v>9.904293959</v>
      </c>
      <c r="I59" s="1">
        <v>62.46644874</v>
      </c>
      <c r="J59" s="1">
        <v>12.29969513</v>
      </c>
      <c r="K59" s="1">
        <v>12.45046093</v>
      </c>
      <c r="L59" s="1">
        <v>12.78339519</v>
      </c>
      <c r="M59" s="1">
        <v>96.74976305</v>
      </c>
      <c r="N59" s="1">
        <v>0.7460644731</v>
      </c>
      <c r="O59" s="1">
        <v>1.632164244</v>
      </c>
      <c r="P59" s="1">
        <v>0.8720082294</v>
      </c>
      <c r="Q59" s="2">
        <f t="shared" si="1"/>
        <v>16</v>
      </c>
      <c r="R59" s="2">
        <f t="shared" si="2"/>
        <v>15</v>
      </c>
    </row>
    <row r="60">
      <c r="A60" s="1" t="s">
        <v>77</v>
      </c>
      <c r="B60" s="1">
        <v>4.0</v>
      </c>
      <c r="C60" s="1">
        <v>1207.360962</v>
      </c>
      <c r="D60" s="1">
        <v>66.82099915</v>
      </c>
      <c r="E60" s="1">
        <v>99.76517318</v>
      </c>
      <c r="F60" s="1">
        <v>0.0</v>
      </c>
      <c r="G60" s="1">
        <v>0.2348268167</v>
      </c>
      <c r="H60" s="1">
        <v>0.0</v>
      </c>
      <c r="I60" s="1">
        <v>99.84576172</v>
      </c>
      <c r="J60" s="1">
        <v>0.0</v>
      </c>
      <c r="K60" s="1">
        <v>0.1542382836</v>
      </c>
      <c r="L60" s="1">
        <v>0.0</v>
      </c>
      <c r="M60" s="1">
        <v>99.72515812</v>
      </c>
      <c r="N60" s="1">
        <v>0.0</v>
      </c>
      <c r="O60" s="1">
        <v>0.2748418825</v>
      </c>
      <c r="P60" s="1">
        <v>0.0</v>
      </c>
      <c r="Q60" s="2">
        <f t="shared" si="1"/>
        <v>16</v>
      </c>
      <c r="R60" s="2">
        <f t="shared" si="2"/>
        <v>15</v>
      </c>
    </row>
    <row r="61">
      <c r="A61" s="1" t="s">
        <v>78</v>
      </c>
      <c r="B61" s="1">
        <v>3.0</v>
      </c>
      <c r="C61" s="1">
        <v>1271.766968</v>
      </c>
      <c r="D61" s="1">
        <v>40.75999832</v>
      </c>
      <c r="E61" s="1">
        <v>99.8662547</v>
      </c>
      <c r="F61" s="1">
        <v>0.0</v>
      </c>
      <c r="G61" s="1">
        <v>0.1337453014</v>
      </c>
      <c r="H61" s="1">
        <v>0.0</v>
      </c>
      <c r="I61" s="1">
        <v>99.82768234</v>
      </c>
      <c r="J61" s="1">
        <v>0.0</v>
      </c>
      <c r="K61" s="1">
        <v>0.1723176618</v>
      </c>
      <c r="L61" s="1">
        <v>0.0</v>
      </c>
      <c r="M61" s="1">
        <v>99.92231522</v>
      </c>
      <c r="N61" s="1">
        <v>0.0</v>
      </c>
      <c r="O61" s="1">
        <v>0.07768478119</v>
      </c>
      <c r="P61" s="1">
        <v>0.0</v>
      </c>
      <c r="Q61" s="2">
        <f t="shared" si="1"/>
        <v>16</v>
      </c>
      <c r="R61" s="2">
        <f t="shared" si="2"/>
        <v>15</v>
      </c>
    </row>
    <row r="62">
      <c r="A62" s="1" t="s">
        <v>79</v>
      </c>
      <c r="B62" s="1">
        <v>2.0</v>
      </c>
      <c r="C62" s="1">
        <v>1318.442017</v>
      </c>
      <c r="D62" s="1">
        <v>31.31999969</v>
      </c>
      <c r="E62" s="1">
        <v>85.4956012</v>
      </c>
      <c r="F62" s="1">
        <v>1.88586597</v>
      </c>
      <c r="G62" s="1">
        <v>8.360029397</v>
      </c>
      <c r="H62" s="1">
        <v>4.258503433</v>
      </c>
      <c r="I62" s="1">
        <v>80.48779562</v>
      </c>
      <c r="J62" s="1">
        <v>2.049364675</v>
      </c>
      <c r="K62" s="1">
        <v>11.26233968</v>
      </c>
      <c r="L62" s="1">
        <v>6.200500018</v>
      </c>
      <c r="M62" s="1">
        <v>96.47695792</v>
      </c>
      <c r="N62" s="1">
        <v>1.527338152</v>
      </c>
      <c r="O62" s="1">
        <v>1.995703929</v>
      </c>
      <c r="P62" s="1">
        <v>0.0</v>
      </c>
      <c r="Q62" s="2">
        <f t="shared" si="1"/>
        <v>16</v>
      </c>
      <c r="R62" s="2">
        <f t="shared" si="2"/>
        <v>15</v>
      </c>
    </row>
    <row r="63">
      <c r="A63" s="1" t="s">
        <v>80</v>
      </c>
      <c r="B63" s="1">
        <v>4.0</v>
      </c>
      <c r="C63" s="1">
        <v>1326.53894</v>
      </c>
      <c r="D63" s="1">
        <v>69.22900391</v>
      </c>
      <c r="E63" s="1">
        <v>99.59078178</v>
      </c>
      <c r="F63" s="1">
        <v>0.0</v>
      </c>
      <c r="G63" s="1">
        <v>0.4092182232</v>
      </c>
      <c r="H63" s="1">
        <v>0.0</v>
      </c>
      <c r="I63" s="1" t="s">
        <v>19</v>
      </c>
      <c r="J63" s="1" t="s">
        <v>19</v>
      </c>
      <c r="K63" s="1" t="s">
        <v>19</v>
      </c>
      <c r="L63" s="1" t="s">
        <v>19</v>
      </c>
      <c r="M63" s="1">
        <v>99.98545421</v>
      </c>
      <c r="N63" s="1">
        <v>0.0</v>
      </c>
      <c r="O63" s="1">
        <v>0.01454579307</v>
      </c>
      <c r="P63" s="1">
        <v>0.0</v>
      </c>
      <c r="Q63" s="2">
        <f t="shared" si="1"/>
        <v>16</v>
      </c>
      <c r="R63" s="2">
        <f t="shared" si="2"/>
        <v>11</v>
      </c>
    </row>
    <row r="64">
      <c r="A64" s="1" t="s">
        <v>81</v>
      </c>
      <c r="B64" s="1">
        <v>4.0</v>
      </c>
      <c r="C64" s="1">
        <v>1399.490967</v>
      </c>
      <c r="D64" s="1">
        <v>53.2140007</v>
      </c>
      <c r="E64" s="1">
        <v>98.87517077</v>
      </c>
      <c r="F64" s="1">
        <v>1.124829231</v>
      </c>
      <c r="G64" s="1">
        <v>0.0</v>
      </c>
      <c r="H64" s="1">
        <v>0.0</v>
      </c>
      <c r="I64" s="1" t="s">
        <v>19</v>
      </c>
      <c r="J64" s="1" t="s">
        <v>19</v>
      </c>
      <c r="K64" s="1" t="s">
        <v>19</v>
      </c>
      <c r="L64" s="1" t="s">
        <v>19</v>
      </c>
      <c r="M64" s="1" t="s">
        <v>19</v>
      </c>
      <c r="N64" s="1" t="s">
        <v>19</v>
      </c>
      <c r="O64" s="1" t="s">
        <v>19</v>
      </c>
      <c r="P64" s="1" t="s">
        <v>19</v>
      </c>
      <c r="Q64" s="2">
        <f t="shared" si="1"/>
        <v>16</v>
      </c>
      <c r="R64" s="2">
        <f t="shared" si="2"/>
        <v>7</v>
      </c>
    </row>
    <row r="65">
      <c r="A65" s="1" t="s">
        <v>82</v>
      </c>
      <c r="B65" s="1">
        <v>4.0</v>
      </c>
      <c r="C65" s="1">
        <v>1701.583008</v>
      </c>
      <c r="D65" s="1">
        <v>89.50600433</v>
      </c>
      <c r="E65" s="1">
        <v>100.0</v>
      </c>
      <c r="F65" s="1">
        <v>0.0</v>
      </c>
      <c r="G65" s="1">
        <v>0.0</v>
      </c>
      <c r="H65" s="1">
        <v>0.0</v>
      </c>
      <c r="I65" s="1" t="s">
        <v>19</v>
      </c>
      <c r="J65" s="1" t="s">
        <v>19</v>
      </c>
      <c r="K65" s="1" t="s">
        <v>19</v>
      </c>
      <c r="L65" s="1" t="s">
        <v>19</v>
      </c>
      <c r="M65" s="1" t="s">
        <v>19</v>
      </c>
      <c r="N65" s="1" t="s">
        <v>19</v>
      </c>
      <c r="O65" s="1" t="s">
        <v>19</v>
      </c>
      <c r="P65" s="1" t="s">
        <v>19</v>
      </c>
      <c r="Q65" s="2">
        <f t="shared" si="1"/>
        <v>16</v>
      </c>
      <c r="R65" s="2">
        <f t="shared" si="2"/>
        <v>7</v>
      </c>
    </row>
    <row r="66">
      <c r="A66" s="1" t="s">
        <v>83</v>
      </c>
      <c r="B66" s="1">
        <v>4.0</v>
      </c>
      <c r="C66" s="1">
        <v>1886.202026</v>
      </c>
      <c r="D66" s="1">
        <v>68.31500244</v>
      </c>
      <c r="E66" s="1">
        <v>98.78260115</v>
      </c>
      <c r="F66" s="1">
        <v>0.6823007424</v>
      </c>
      <c r="G66" s="1">
        <v>0.5350981037</v>
      </c>
      <c r="H66" s="1">
        <v>0.0</v>
      </c>
      <c r="I66" s="1">
        <v>98.57922314</v>
      </c>
      <c r="J66" s="1">
        <v>0.0</v>
      </c>
      <c r="K66" s="1">
        <v>1.42077686</v>
      </c>
      <c r="L66" s="1">
        <v>0.0</v>
      </c>
      <c r="M66" s="1">
        <v>98.87692469</v>
      </c>
      <c r="N66" s="1">
        <v>0.9987568151</v>
      </c>
      <c r="O66" s="1">
        <v>0.1243184908</v>
      </c>
      <c r="P66" s="1">
        <v>0.0</v>
      </c>
      <c r="Q66" s="2">
        <f t="shared" si="1"/>
        <v>16</v>
      </c>
      <c r="R66" s="2">
        <f t="shared" si="2"/>
        <v>15</v>
      </c>
    </row>
    <row r="67">
      <c r="A67" s="1" t="s">
        <v>84</v>
      </c>
      <c r="B67" s="1">
        <v>1.0</v>
      </c>
      <c r="C67" s="1">
        <v>1967.998047</v>
      </c>
      <c r="D67" s="1">
        <v>44.19599915</v>
      </c>
      <c r="E67" s="1">
        <v>59.01691221</v>
      </c>
      <c r="F67" s="1">
        <v>14.03457137</v>
      </c>
      <c r="G67" s="1">
        <v>26.6263769</v>
      </c>
      <c r="H67" s="1">
        <v>0.3221395192</v>
      </c>
      <c r="I67" s="1">
        <v>49.8319053</v>
      </c>
      <c r="J67" s="1">
        <v>9.285773026</v>
      </c>
      <c r="K67" s="1">
        <v>40.31645129</v>
      </c>
      <c r="L67" s="1">
        <v>0.5658703845</v>
      </c>
      <c r="M67" s="1">
        <v>70.61434791</v>
      </c>
      <c r="N67" s="1">
        <v>20.03063358</v>
      </c>
      <c r="O67" s="1">
        <v>9.340625284</v>
      </c>
      <c r="P67" s="1">
        <v>0.01439322693</v>
      </c>
      <c r="Q67" s="2">
        <f t="shared" si="1"/>
        <v>16</v>
      </c>
      <c r="R67" s="2">
        <f t="shared" si="2"/>
        <v>15</v>
      </c>
    </row>
    <row r="68">
      <c r="A68" s="1" t="s">
        <v>85</v>
      </c>
      <c r="B68" s="1">
        <v>4.0</v>
      </c>
      <c r="C68" s="1">
        <v>2078.931885</v>
      </c>
      <c r="D68" s="1">
        <v>55.11800385</v>
      </c>
      <c r="E68" s="1">
        <v>99.5</v>
      </c>
      <c r="F68" s="1">
        <v>0.0</v>
      </c>
      <c r="G68" s="1">
        <v>0.5</v>
      </c>
      <c r="H68" s="1">
        <v>0.0</v>
      </c>
      <c r="I68" s="1" t="s">
        <v>19</v>
      </c>
      <c r="J68" s="1" t="s">
        <v>19</v>
      </c>
      <c r="K68" s="1" t="s">
        <v>19</v>
      </c>
      <c r="L68" s="1" t="s">
        <v>19</v>
      </c>
      <c r="M68" s="1" t="s">
        <v>19</v>
      </c>
      <c r="N68" s="1" t="s">
        <v>19</v>
      </c>
      <c r="O68" s="1" t="s">
        <v>19</v>
      </c>
      <c r="P68" s="1" t="s">
        <v>19</v>
      </c>
      <c r="Q68" s="2">
        <f t="shared" si="1"/>
        <v>16</v>
      </c>
      <c r="R68" s="2">
        <f t="shared" si="2"/>
        <v>7</v>
      </c>
    </row>
    <row r="69">
      <c r="A69" s="1" t="s">
        <v>86</v>
      </c>
      <c r="B69" s="1">
        <v>3.0</v>
      </c>
      <c r="C69" s="1">
        <v>2083.379883</v>
      </c>
      <c r="D69" s="1">
        <v>58.48199844</v>
      </c>
      <c r="E69" s="1">
        <v>97.74281579</v>
      </c>
      <c r="F69" s="1">
        <v>1.63499414</v>
      </c>
      <c r="G69" s="1">
        <v>0.5742284762</v>
      </c>
      <c r="H69" s="1">
        <v>0.04796159706</v>
      </c>
      <c r="I69" s="1">
        <v>97.46871457</v>
      </c>
      <c r="J69" s="1">
        <v>1.505202232</v>
      </c>
      <c r="K69" s="1">
        <v>0.9105631982</v>
      </c>
      <c r="L69" s="1">
        <v>0.11552</v>
      </c>
      <c r="M69" s="1">
        <v>97.93740299</v>
      </c>
      <c r="N69" s="1">
        <v>1.727136954</v>
      </c>
      <c r="O69" s="1">
        <v>0.3354600563</v>
      </c>
      <c r="P69" s="1">
        <v>0.0</v>
      </c>
      <c r="Q69" s="2">
        <f t="shared" si="1"/>
        <v>16</v>
      </c>
      <c r="R69" s="2">
        <f t="shared" si="2"/>
        <v>15</v>
      </c>
    </row>
    <row r="70">
      <c r="A70" s="1" t="s">
        <v>87</v>
      </c>
      <c r="B70" s="1">
        <v>2.0</v>
      </c>
      <c r="C70" s="1">
        <v>2142.251953</v>
      </c>
      <c r="D70" s="1">
        <v>29.02799988</v>
      </c>
      <c r="E70" s="1">
        <v>72.17603927</v>
      </c>
      <c r="F70" s="1">
        <v>10.40592597</v>
      </c>
      <c r="G70" s="1">
        <v>12.21725464</v>
      </c>
      <c r="H70" s="1">
        <v>5.200780116</v>
      </c>
      <c r="I70" s="1">
        <v>63.65035482</v>
      </c>
      <c r="J70" s="1">
        <v>13.55843013</v>
      </c>
      <c r="K70" s="1">
        <v>15.73132479</v>
      </c>
      <c r="L70" s="1">
        <v>7.059890254</v>
      </c>
      <c r="M70" s="1">
        <v>93.02090855</v>
      </c>
      <c r="N70" s="1">
        <v>2.698211997</v>
      </c>
      <c r="O70" s="1">
        <v>3.625530038</v>
      </c>
      <c r="P70" s="1">
        <v>0.65534942</v>
      </c>
      <c r="Q70" s="2">
        <f t="shared" si="1"/>
        <v>16</v>
      </c>
      <c r="R70" s="2">
        <f t="shared" si="2"/>
        <v>15</v>
      </c>
    </row>
    <row r="71">
      <c r="A71" s="1" t="s">
        <v>88</v>
      </c>
      <c r="B71" s="1">
        <v>3.0</v>
      </c>
      <c r="C71" s="1">
        <v>2225.728027</v>
      </c>
      <c r="D71" s="1">
        <v>90.09200287</v>
      </c>
      <c r="E71" s="1">
        <v>85.3419306</v>
      </c>
      <c r="F71" s="1">
        <v>7.735263103</v>
      </c>
      <c r="G71" s="1">
        <v>6.922808357</v>
      </c>
      <c r="H71" s="1" t="s">
        <v>19</v>
      </c>
      <c r="I71" s="1">
        <v>44.74588901</v>
      </c>
      <c r="J71" s="1">
        <v>10.51114859</v>
      </c>
      <c r="K71" s="1">
        <v>44.7429624</v>
      </c>
      <c r="L71" s="1" t="s">
        <v>19</v>
      </c>
      <c r="M71" s="1">
        <v>89.80653917</v>
      </c>
      <c r="N71" s="1">
        <v>7.42998076</v>
      </c>
      <c r="O71" s="1">
        <v>2.763480072</v>
      </c>
      <c r="P71" s="1" t="s">
        <v>19</v>
      </c>
      <c r="Q71" s="2">
        <f t="shared" si="1"/>
        <v>16</v>
      </c>
      <c r="R71" s="2">
        <f t="shared" si="2"/>
        <v>12</v>
      </c>
    </row>
    <row r="72">
      <c r="A72" s="1" t="s">
        <v>89</v>
      </c>
      <c r="B72" s="1">
        <v>3.0</v>
      </c>
      <c r="C72" s="1">
        <v>2351.625</v>
      </c>
      <c r="D72" s="1">
        <v>70.8769989</v>
      </c>
      <c r="E72" s="1">
        <v>92.21356307</v>
      </c>
      <c r="F72" s="1">
        <v>4.72303897</v>
      </c>
      <c r="G72" s="1">
        <v>1.732526476</v>
      </c>
      <c r="H72" s="1">
        <v>1.330871481</v>
      </c>
      <c r="I72" s="1">
        <v>79.04372386</v>
      </c>
      <c r="J72" s="1">
        <v>15.15494718</v>
      </c>
      <c r="K72" s="1">
        <v>1.596119156</v>
      </c>
      <c r="L72" s="1">
        <v>4.20520981</v>
      </c>
      <c r="M72" s="1">
        <v>97.62498058</v>
      </c>
      <c r="N72" s="1">
        <v>0.4366200322</v>
      </c>
      <c r="O72" s="1">
        <v>1.788579159</v>
      </c>
      <c r="P72" s="1">
        <v>0.1498202281</v>
      </c>
      <c r="Q72" s="2">
        <f t="shared" si="1"/>
        <v>16</v>
      </c>
      <c r="R72" s="2">
        <f t="shared" si="2"/>
        <v>15</v>
      </c>
    </row>
    <row r="73">
      <c r="A73" s="1" t="s">
        <v>90</v>
      </c>
      <c r="B73" s="1">
        <v>1.0</v>
      </c>
      <c r="C73" s="1">
        <v>2416.664063</v>
      </c>
      <c r="D73" s="1">
        <v>62.58199692</v>
      </c>
      <c r="E73" s="1">
        <v>80.94040714</v>
      </c>
      <c r="F73" s="1">
        <v>8.597391391</v>
      </c>
      <c r="G73" s="1">
        <v>10.35285207</v>
      </c>
      <c r="H73" s="1">
        <v>0.1093493927</v>
      </c>
      <c r="I73" s="1">
        <v>69.18852321</v>
      </c>
      <c r="J73" s="1">
        <v>16.49783239</v>
      </c>
      <c r="K73" s="1">
        <v>14.24376547</v>
      </c>
      <c r="L73" s="1">
        <v>0.0698789368</v>
      </c>
      <c r="M73" s="1">
        <v>87.96690427</v>
      </c>
      <c r="N73" s="1">
        <v>3.873689522</v>
      </c>
      <c r="O73" s="1">
        <v>8.026457278</v>
      </c>
      <c r="P73" s="1">
        <v>0.1329489253</v>
      </c>
      <c r="Q73" s="2">
        <f t="shared" si="1"/>
        <v>16</v>
      </c>
      <c r="R73" s="2">
        <f t="shared" si="2"/>
        <v>15</v>
      </c>
    </row>
    <row r="74">
      <c r="A74" s="1" t="s">
        <v>91</v>
      </c>
      <c r="B74" s="1">
        <v>3.0</v>
      </c>
      <c r="C74" s="1">
        <v>2540.916016</v>
      </c>
      <c r="D74" s="1">
        <v>52.03300095</v>
      </c>
      <c r="E74" s="1">
        <v>84.27003628</v>
      </c>
      <c r="F74" s="1">
        <v>7.08762751</v>
      </c>
      <c r="G74" s="1">
        <v>3.740143722</v>
      </c>
      <c r="H74" s="1">
        <v>4.902192485</v>
      </c>
      <c r="I74" s="1">
        <v>71.25616743</v>
      </c>
      <c r="J74" s="1">
        <v>11.97218925</v>
      </c>
      <c r="K74" s="1">
        <v>7.081803759</v>
      </c>
      <c r="L74" s="1">
        <v>9.689839563</v>
      </c>
      <c r="M74" s="1">
        <v>96.26696535</v>
      </c>
      <c r="N74" s="1">
        <v>2.584758965</v>
      </c>
      <c r="O74" s="1">
        <v>0.6596102638</v>
      </c>
      <c r="P74" s="1">
        <v>0.4886654211</v>
      </c>
      <c r="Q74" s="2">
        <f t="shared" si="1"/>
        <v>16</v>
      </c>
      <c r="R74" s="2">
        <f t="shared" si="2"/>
        <v>15</v>
      </c>
    </row>
    <row r="75">
      <c r="A75" s="1" t="s">
        <v>92</v>
      </c>
      <c r="B75" s="1">
        <v>4.0</v>
      </c>
      <c r="C75" s="1">
        <v>2722.291016</v>
      </c>
      <c r="D75" s="1">
        <v>68.04599762</v>
      </c>
      <c r="E75" s="1">
        <v>98.01334724</v>
      </c>
      <c r="F75" s="1">
        <v>0.0</v>
      </c>
      <c r="G75" s="1">
        <v>1.98665276</v>
      </c>
      <c r="H75" s="1">
        <v>0.0</v>
      </c>
      <c r="I75" s="1">
        <v>93.78278023</v>
      </c>
      <c r="J75" s="1">
        <v>0.0</v>
      </c>
      <c r="K75" s="1">
        <v>6.217219771</v>
      </c>
      <c r="L75" s="1">
        <v>0.0</v>
      </c>
      <c r="M75" s="1">
        <v>100.0</v>
      </c>
      <c r="N75" s="1">
        <v>0.0</v>
      </c>
      <c r="O75" s="1">
        <v>0.0</v>
      </c>
      <c r="P75" s="1">
        <v>0.0</v>
      </c>
      <c r="Q75" s="2">
        <f t="shared" si="1"/>
        <v>16</v>
      </c>
      <c r="R75" s="2">
        <f t="shared" si="2"/>
        <v>15</v>
      </c>
    </row>
    <row r="76">
      <c r="A76" s="1" t="s">
        <v>93</v>
      </c>
      <c r="B76" s="1">
        <v>4.0</v>
      </c>
      <c r="C76" s="1">
        <v>2860.840088</v>
      </c>
      <c r="D76" s="1">
        <v>93.58100128</v>
      </c>
      <c r="E76" s="1">
        <v>100.0</v>
      </c>
      <c r="F76" s="1">
        <v>0.0</v>
      </c>
      <c r="G76" s="1">
        <v>0.0</v>
      </c>
      <c r="H76" s="1">
        <v>0.0</v>
      </c>
      <c r="I76" s="1" t="s">
        <v>19</v>
      </c>
      <c r="J76" s="1" t="s">
        <v>19</v>
      </c>
      <c r="K76" s="1" t="s">
        <v>19</v>
      </c>
      <c r="L76" s="1" t="s">
        <v>19</v>
      </c>
      <c r="M76" s="1" t="s">
        <v>19</v>
      </c>
      <c r="N76" s="1" t="s">
        <v>19</v>
      </c>
      <c r="O76" s="1" t="s">
        <v>19</v>
      </c>
      <c r="P76" s="1" t="s">
        <v>19</v>
      </c>
      <c r="Q76" s="2">
        <f t="shared" si="1"/>
        <v>16</v>
      </c>
      <c r="R76" s="2">
        <f t="shared" si="2"/>
        <v>7</v>
      </c>
    </row>
    <row r="77">
      <c r="A77" s="1" t="s">
        <v>94</v>
      </c>
      <c r="B77" s="1">
        <v>3.0</v>
      </c>
      <c r="C77" s="1">
        <v>2877.800049</v>
      </c>
      <c r="D77" s="1">
        <v>62.11199951</v>
      </c>
      <c r="E77" s="1">
        <v>95.06803883</v>
      </c>
      <c r="F77" s="1">
        <v>1.884656092</v>
      </c>
      <c r="G77" s="1">
        <v>3.047305081</v>
      </c>
      <c r="H77" s="1">
        <v>0.0</v>
      </c>
      <c r="I77" s="1">
        <v>94.09135806</v>
      </c>
      <c r="J77" s="1">
        <v>2.305264955</v>
      </c>
      <c r="K77" s="1">
        <v>3.603376986</v>
      </c>
      <c r="L77" s="1">
        <v>0.0</v>
      </c>
      <c r="M77" s="1">
        <v>95.66380912</v>
      </c>
      <c r="N77" s="1">
        <v>1.62808683</v>
      </c>
      <c r="O77" s="1">
        <v>2.708104054</v>
      </c>
      <c r="P77" s="1">
        <v>0.0</v>
      </c>
      <c r="Q77" s="2">
        <f t="shared" si="1"/>
        <v>16</v>
      </c>
      <c r="R77" s="2">
        <f t="shared" si="2"/>
        <v>15</v>
      </c>
    </row>
    <row r="78">
      <c r="A78" s="1" t="s">
        <v>95</v>
      </c>
      <c r="B78" s="1">
        <v>4.0</v>
      </c>
      <c r="C78" s="1">
        <v>2881.060059</v>
      </c>
      <c r="D78" s="1">
        <v>99.23500061</v>
      </c>
      <c r="E78" s="1">
        <v>99.56810194</v>
      </c>
      <c r="F78" s="1">
        <v>0.0</v>
      </c>
      <c r="G78" s="1">
        <v>0.4318980637</v>
      </c>
      <c r="H78" s="1">
        <v>0.0</v>
      </c>
      <c r="I78" s="1" t="s">
        <v>19</v>
      </c>
      <c r="J78" s="1" t="s">
        <v>19</v>
      </c>
      <c r="K78" s="1" t="s">
        <v>19</v>
      </c>
      <c r="L78" s="1" t="s">
        <v>19</v>
      </c>
      <c r="M78" s="1" t="s">
        <v>19</v>
      </c>
      <c r="N78" s="1" t="s">
        <v>19</v>
      </c>
      <c r="O78" s="1" t="s">
        <v>19</v>
      </c>
      <c r="P78" s="1" t="s">
        <v>19</v>
      </c>
      <c r="Q78" s="2">
        <f t="shared" si="1"/>
        <v>16</v>
      </c>
      <c r="R78" s="2">
        <f t="shared" si="2"/>
        <v>7</v>
      </c>
    </row>
    <row r="79">
      <c r="A79" s="1" t="s">
        <v>96</v>
      </c>
      <c r="B79" s="1">
        <v>3.0</v>
      </c>
      <c r="C79" s="1">
        <v>2961.160889</v>
      </c>
      <c r="D79" s="1">
        <v>56.31100082</v>
      </c>
      <c r="E79" s="1">
        <v>91.0299445</v>
      </c>
      <c r="F79" s="1">
        <v>5.367570914</v>
      </c>
      <c r="G79" s="1">
        <v>1.864010203</v>
      </c>
      <c r="H79" s="1">
        <v>1.738474379</v>
      </c>
      <c r="I79" s="1">
        <v>85.39991216</v>
      </c>
      <c r="J79" s="1">
        <v>8.490737371</v>
      </c>
      <c r="K79" s="1">
        <v>2.568971895</v>
      </c>
      <c r="L79" s="1">
        <v>3.540378574</v>
      </c>
      <c r="M79" s="1">
        <v>95.39801591</v>
      </c>
      <c r="N79" s="1">
        <v>2.944456223</v>
      </c>
      <c r="O79" s="1">
        <v>1.317064322</v>
      </c>
      <c r="P79" s="1">
        <v>0.34046355</v>
      </c>
      <c r="Q79" s="2">
        <f t="shared" si="1"/>
        <v>16</v>
      </c>
      <c r="R79" s="2">
        <f t="shared" si="2"/>
        <v>15</v>
      </c>
    </row>
    <row r="80">
      <c r="A80" s="1" t="s">
        <v>97</v>
      </c>
      <c r="B80" s="1">
        <v>3.0</v>
      </c>
      <c r="C80" s="1">
        <v>2963.233887</v>
      </c>
      <c r="D80" s="1">
        <v>63.31299973</v>
      </c>
      <c r="E80" s="1">
        <v>99.97118069</v>
      </c>
      <c r="F80" s="1">
        <v>0.0</v>
      </c>
      <c r="G80" s="1">
        <v>0.02881930801</v>
      </c>
      <c r="H80" s="1">
        <v>0.0</v>
      </c>
      <c r="I80" s="1">
        <v>100.0</v>
      </c>
      <c r="J80" s="1">
        <v>0.0</v>
      </c>
      <c r="K80" s="1">
        <v>0.0</v>
      </c>
      <c r="L80" s="1">
        <v>0.0</v>
      </c>
      <c r="M80" s="1">
        <v>99.95448122</v>
      </c>
      <c r="N80" s="1">
        <v>0.0</v>
      </c>
      <c r="O80" s="1">
        <v>0.04551878364</v>
      </c>
      <c r="P80" s="1">
        <v>0.0</v>
      </c>
      <c r="Q80" s="2">
        <f t="shared" si="1"/>
        <v>16</v>
      </c>
      <c r="R80" s="2">
        <f t="shared" si="2"/>
        <v>15</v>
      </c>
    </row>
    <row r="81">
      <c r="A81" s="1" t="s">
        <v>98</v>
      </c>
      <c r="B81" s="1">
        <v>2.0</v>
      </c>
      <c r="C81" s="1">
        <v>3278.291992</v>
      </c>
      <c r="D81" s="1">
        <v>68.65699768</v>
      </c>
      <c r="E81" s="1">
        <v>85.49562527</v>
      </c>
      <c r="F81" s="1">
        <v>2.14642893</v>
      </c>
      <c r="G81" s="1">
        <v>6.633366714</v>
      </c>
      <c r="H81" s="1">
        <v>5.724579081</v>
      </c>
      <c r="I81" s="1">
        <v>61.07075114</v>
      </c>
      <c r="J81" s="1">
        <v>3.084170572</v>
      </c>
      <c r="K81" s="1">
        <v>17.58078116</v>
      </c>
      <c r="L81" s="1">
        <v>18.26429713</v>
      </c>
      <c r="M81" s="1">
        <v>96.64596558</v>
      </c>
      <c r="N81" s="1">
        <v>1.718335079</v>
      </c>
      <c r="O81" s="1">
        <v>1.635699341</v>
      </c>
      <c r="P81" s="1">
        <v>0.0</v>
      </c>
      <c r="Q81" s="2">
        <f t="shared" si="1"/>
        <v>16</v>
      </c>
      <c r="R81" s="2">
        <f t="shared" si="2"/>
        <v>15</v>
      </c>
    </row>
    <row r="82">
      <c r="A82" s="1" t="s">
        <v>99</v>
      </c>
      <c r="B82" s="1">
        <v>3.0</v>
      </c>
      <c r="C82" s="1">
        <v>3280.814941</v>
      </c>
      <c r="D82" s="1">
        <v>49.02000046</v>
      </c>
      <c r="E82" s="1">
        <v>96.11389762</v>
      </c>
      <c r="F82" s="1">
        <v>3.823663938</v>
      </c>
      <c r="G82" s="1">
        <v>0.06243843752</v>
      </c>
      <c r="H82" s="1">
        <v>0.0</v>
      </c>
      <c r="I82" s="1">
        <v>97.33333333</v>
      </c>
      <c r="J82" s="1">
        <v>2.666666667</v>
      </c>
      <c r="K82" s="1">
        <v>0.0</v>
      </c>
      <c r="L82" s="1">
        <v>0.0</v>
      </c>
      <c r="M82" s="1">
        <v>94.8457044</v>
      </c>
      <c r="N82" s="1">
        <v>5.026922206</v>
      </c>
      <c r="O82" s="1">
        <v>0.1273733928</v>
      </c>
      <c r="P82" s="1">
        <v>0.0</v>
      </c>
      <c r="Q82" s="2">
        <f t="shared" si="1"/>
        <v>16</v>
      </c>
      <c r="R82" s="2">
        <f t="shared" si="2"/>
        <v>15</v>
      </c>
    </row>
    <row r="83">
      <c r="A83" s="1" t="s">
        <v>100</v>
      </c>
      <c r="B83" s="1">
        <v>4.0</v>
      </c>
      <c r="C83" s="1">
        <v>3473.727051</v>
      </c>
      <c r="D83" s="1">
        <v>95.51499939</v>
      </c>
      <c r="E83" s="1">
        <v>99.49575756</v>
      </c>
      <c r="F83" s="1">
        <v>0.5042424412</v>
      </c>
      <c r="G83" s="1">
        <v>0.0</v>
      </c>
      <c r="H83" s="1">
        <v>0.0</v>
      </c>
      <c r="I83" s="1">
        <v>95.30083</v>
      </c>
      <c r="J83" s="1">
        <v>4.69917</v>
      </c>
      <c r="K83" s="1">
        <v>0.0</v>
      </c>
      <c r="L83" s="1">
        <v>0.0</v>
      </c>
      <c r="M83" s="1">
        <v>99.69273444</v>
      </c>
      <c r="N83" s="1">
        <v>0.3072655617</v>
      </c>
      <c r="O83" s="1">
        <v>0.0</v>
      </c>
      <c r="P83" s="1">
        <v>0.0</v>
      </c>
      <c r="Q83" s="2">
        <f t="shared" si="1"/>
        <v>16</v>
      </c>
      <c r="R83" s="2">
        <f t="shared" si="2"/>
        <v>15</v>
      </c>
    </row>
    <row r="84">
      <c r="A84" s="1" t="s">
        <v>101</v>
      </c>
      <c r="B84" s="1">
        <v>3.0</v>
      </c>
      <c r="C84" s="1">
        <v>3989.175049</v>
      </c>
      <c r="D84" s="1">
        <v>59.4529953</v>
      </c>
      <c r="E84" s="1">
        <v>97.3481397</v>
      </c>
      <c r="F84" s="1">
        <v>0.0</v>
      </c>
      <c r="G84" s="1">
        <v>2.632761379</v>
      </c>
      <c r="H84" s="1">
        <v>0.01909892327</v>
      </c>
      <c r="I84" s="1">
        <v>94.2718842</v>
      </c>
      <c r="J84" s="1">
        <v>0.0</v>
      </c>
      <c r="K84" s="1">
        <v>5.703923618</v>
      </c>
      <c r="L84" s="1">
        <v>0.02419218345</v>
      </c>
      <c r="M84" s="1">
        <v>99.44615394</v>
      </c>
      <c r="N84" s="1">
        <v>0.0</v>
      </c>
      <c r="O84" s="1">
        <v>0.538220742</v>
      </c>
      <c r="P84" s="1">
        <v>0.01562531586</v>
      </c>
      <c r="Q84" s="2">
        <f t="shared" si="1"/>
        <v>16</v>
      </c>
      <c r="R84" s="2">
        <f t="shared" si="2"/>
        <v>15</v>
      </c>
    </row>
    <row r="85">
      <c r="A85" s="1" t="s">
        <v>102</v>
      </c>
      <c r="B85" s="1">
        <v>3.0</v>
      </c>
      <c r="C85" s="1">
        <v>4033.962891</v>
      </c>
      <c r="D85" s="1">
        <v>42.84900284</v>
      </c>
      <c r="E85" s="1">
        <v>90.56996224</v>
      </c>
      <c r="F85" s="1">
        <v>1.519776762</v>
      </c>
      <c r="G85" s="1">
        <v>7.910260997</v>
      </c>
      <c r="H85" s="1">
        <v>0.0</v>
      </c>
      <c r="I85" s="1">
        <v>85.48103812</v>
      </c>
      <c r="J85" s="1">
        <v>1.52256302</v>
      </c>
      <c r="K85" s="1">
        <v>12.99639886</v>
      </c>
      <c r="L85" s="1">
        <v>0.0</v>
      </c>
      <c r="M85" s="1">
        <v>97.35744448</v>
      </c>
      <c r="N85" s="1">
        <v>1.516060408</v>
      </c>
      <c r="O85" s="1">
        <v>1.126495111</v>
      </c>
      <c r="P85" s="1">
        <v>0.0</v>
      </c>
      <c r="Q85" s="2">
        <f t="shared" si="1"/>
        <v>16</v>
      </c>
      <c r="R85" s="2">
        <f t="shared" si="2"/>
        <v>15</v>
      </c>
    </row>
    <row r="86">
      <c r="A86" s="1" t="s">
        <v>103</v>
      </c>
      <c r="B86" s="1">
        <v>4.0</v>
      </c>
      <c r="C86" s="1">
        <v>4105.268066</v>
      </c>
      <c r="D86" s="1">
        <v>57.55299759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  <c r="L86" s="1" t="s">
        <v>19</v>
      </c>
      <c r="M86" s="1">
        <v>100.0</v>
      </c>
      <c r="N86" s="1">
        <v>0.0</v>
      </c>
      <c r="O86" s="1">
        <v>0.0</v>
      </c>
      <c r="P86" s="1">
        <v>0.0</v>
      </c>
      <c r="Q86" s="2">
        <f t="shared" si="1"/>
        <v>16</v>
      </c>
      <c r="R86" s="2">
        <f t="shared" si="2"/>
        <v>7</v>
      </c>
    </row>
    <row r="87">
      <c r="A87" s="1" t="s">
        <v>104</v>
      </c>
      <c r="B87" s="1">
        <v>4.0</v>
      </c>
      <c r="C87" s="1">
        <v>4270.562988</v>
      </c>
      <c r="D87" s="1">
        <v>100.0</v>
      </c>
      <c r="E87" s="1">
        <v>100.0</v>
      </c>
      <c r="F87" s="1">
        <v>0.0</v>
      </c>
      <c r="G87" s="1">
        <v>0.0</v>
      </c>
      <c r="H87" s="1">
        <v>0.0</v>
      </c>
      <c r="I87" s="1" t="s">
        <v>19</v>
      </c>
      <c r="J87" s="1" t="s">
        <v>19</v>
      </c>
      <c r="K87" s="1" t="s">
        <v>19</v>
      </c>
      <c r="L87" s="1" t="s">
        <v>19</v>
      </c>
      <c r="M87" s="1" t="s">
        <v>19</v>
      </c>
      <c r="N87" s="1" t="s">
        <v>19</v>
      </c>
      <c r="O87" s="1" t="s">
        <v>19</v>
      </c>
      <c r="P87" s="1" t="s">
        <v>19</v>
      </c>
      <c r="Q87" s="2">
        <f t="shared" si="1"/>
        <v>16</v>
      </c>
      <c r="R87" s="2">
        <f t="shared" si="2"/>
        <v>7</v>
      </c>
    </row>
    <row r="88">
      <c r="A88" s="1" t="s">
        <v>105</v>
      </c>
      <c r="B88" s="1">
        <v>4.0</v>
      </c>
      <c r="C88" s="1">
        <v>4314.768066</v>
      </c>
      <c r="D88" s="1">
        <v>68.41400146</v>
      </c>
      <c r="E88" s="1">
        <v>94.37254436</v>
      </c>
      <c r="F88" s="1">
        <v>1.873480592</v>
      </c>
      <c r="G88" s="1">
        <v>2.262304247</v>
      </c>
      <c r="H88" s="1">
        <v>1.491670799</v>
      </c>
      <c r="I88" s="1">
        <v>86.32308326</v>
      </c>
      <c r="J88" s="1">
        <v>1.791982583</v>
      </c>
      <c r="K88" s="1">
        <v>7.162364342</v>
      </c>
      <c r="L88" s="1">
        <v>4.722569811</v>
      </c>
      <c r="M88" s="1">
        <v>98.08889267</v>
      </c>
      <c r="N88" s="1">
        <v>1.911107333</v>
      </c>
      <c r="O88" s="1">
        <v>0.0</v>
      </c>
      <c r="P88" s="1">
        <v>0.0</v>
      </c>
      <c r="Q88" s="2">
        <f t="shared" si="1"/>
        <v>16</v>
      </c>
      <c r="R88" s="2">
        <f t="shared" si="2"/>
        <v>15</v>
      </c>
    </row>
    <row r="89">
      <c r="A89" s="1" t="s">
        <v>106</v>
      </c>
      <c r="B89" s="1">
        <v>2.0</v>
      </c>
      <c r="C89" s="1">
        <v>4649.660156</v>
      </c>
      <c r="D89" s="1">
        <v>55.32699585</v>
      </c>
      <c r="E89" s="1">
        <v>71.68104923</v>
      </c>
      <c r="F89" s="1">
        <v>13.47689193</v>
      </c>
      <c r="G89" s="1">
        <v>14.82032681</v>
      </c>
      <c r="H89" s="1">
        <v>0.02173203433</v>
      </c>
      <c r="I89" s="1">
        <v>49.9113389</v>
      </c>
      <c r="J89" s="1">
        <v>18.49039689</v>
      </c>
      <c r="K89" s="1">
        <v>31.5496173</v>
      </c>
      <c r="L89" s="1">
        <v>0.04864690722</v>
      </c>
      <c r="M89" s="1">
        <v>89.25869465</v>
      </c>
      <c r="N89" s="1">
        <v>9.428808083</v>
      </c>
      <c r="O89" s="1">
        <v>1.31249727</v>
      </c>
      <c r="P89" s="1">
        <v>0.0</v>
      </c>
      <c r="Q89" s="2">
        <f t="shared" si="1"/>
        <v>16</v>
      </c>
      <c r="R89" s="2">
        <f t="shared" si="2"/>
        <v>15</v>
      </c>
    </row>
    <row r="90">
      <c r="A90" s="1" t="s">
        <v>107</v>
      </c>
      <c r="B90" s="1">
        <v>4.0</v>
      </c>
      <c r="C90" s="1">
        <v>4822.23291</v>
      </c>
      <c r="D90" s="1">
        <v>86.6989975</v>
      </c>
      <c r="E90" s="1">
        <v>100.0000013</v>
      </c>
      <c r="F90" s="1">
        <v>0.0</v>
      </c>
      <c r="G90" s="1">
        <v>0.0</v>
      </c>
      <c r="H90" s="1">
        <v>0.0</v>
      </c>
      <c r="I90" s="1">
        <v>100.0</v>
      </c>
      <c r="J90" s="1">
        <v>0.0</v>
      </c>
      <c r="K90" s="1">
        <v>0.0</v>
      </c>
      <c r="L90" s="1">
        <v>0.0</v>
      </c>
      <c r="M90" s="1">
        <v>100.0</v>
      </c>
      <c r="N90" s="1">
        <v>0.0</v>
      </c>
      <c r="O90" s="1">
        <v>0.0</v>
      </c>
      <c r="P90" s="1">
        <v>0.0</v>
      </c>
      <c r="Q90" s="2">
        <f t="shared" si="1"/>
        <v>16</v>
      </c>
      <c r="R90" s="2">
        <f t="shared" si="2"/>
        <v>15</v>
      </c>
    </row>
    <row r="91">
      <c r="A91" s="1" t="s">
        <v>108</v>
      </c>
      <c r="B91" s="1">
        <v>1.0</v>
      </c>
      <c r="C91" s="1">
        <v>4829.76416</v>
      </c>
      <c r="D91" s="1">
        <v>42.19799805</v>
      </c>
      <c r="E91" s="1">
        <v>37.20240205</v>
      </c>
      <c r="F91" s="1">
        <v>25.68237348</v>
      </c>
      <c r="G91" s="1">
        <v>33.53911377</v>
      </c>
      <c r="H91" s="1">
        <v>3.576110708</v>
      </c>
      <c r="I91" s="1">
        <v>28.10659415</v>
      </c>
      <c r="J91" s="1">
        <v>19.4058899</v>
      </c>
      <c r="K91" s="1">
        <v>46.37307301</v>
      </c>
      <c r="L91" s="1">
        <v>6.114442944</v>
      </c>
      <c r="M91" s="1">
        <v>49.66166495</v>
      </c>
      <c r="N91" s="1">
        <v>34.27978009</v>
      </c>
      <c r="O91" s="1">
        <v>15.95940214</v>
      </c>
      <c r="P91" s="1">
        <v>0.09915281712</v>
      </c>
      <c r="Q91" s="2">
        <f t="shared" si="1"/>
        <v>16</v>
      </c>
      <c r="R91" s="2">
        <f t="shared" si="2"/>
        <v>15</v>
      </c>
    </row>
    <row r="92">
      <c r="A92" s="1" t="s">
        <v>109</v>
      </c>
      <c r="B92" s="1">
        <v>4.0</v>
      </c>
      <c r="C92" s="1">
        <v>4937.795898</v>
      </c>
      <c r="D92" s="1">
        <v>63.65299988</v>
      </c>
      <c r="E92" s="1">
        <v>97.39970651</v>
      </c>
      <c r="F92" s="1">
        <v>0.0</v>
      </c>
      <c r="G92" s="1">
        <v>2.600293485</v>
      </c>
      <c r="H92" s="1">
        <v>0.0</v>
      </c>
      <c r="I92" s="1">
        <v>98.13492075</v>
      </c>
      <c r="J92" s="1">
        <v>0.0</v>
      </c>
      <c r="K92" s="1">
        <v>1.865079247</v>
      </c>
      <c r="L92" s="1">
        <v>0.0</v>
      </c>
      <c r="M92" s="1">
        <v>96.97988603</v>
      </c>
      <c r="N92" s="1">
        <v>0.0</v>
      </c>
      <c r="O92" s="1">
        <v>3.020113966</v>
      </c>
      <c r="P92" s="1">
        <v>0.0</v>
      </c>
      <c r="Q92" s="2">
        <f t="shared" si="1"/>
        <v>16</v>
      </c>
      <c r="R92" s="2">
        <f t="shared" si="2"/>
        <v>15</v>
      </c>
    </row>
    <row r="93">
      <c r="A93" s="1" t="s">
        <v>110</v>
      </c>
      <c r="B93" s="1">
        <v>1.0</v>
      </c>
      <c r="C93" s="1">
        <v>5057.676758</v>
      </c>
      <c r="D93" s="1">
        <v>52.08899689</v>
      </c>
      <c r="E93" s="1">
        <v>75.26179159</v>
      </c>
      <c r="F93" s="1">
        <v>8.700657475</v>
      </c>
      <c r="G93" s="1">
        <v>3.488080869</v>
      </c>
      <c r="H93" s="1">
        <v>12.54947006</v>
      </c>
      <c r="I93" s="1">
        <v>64.10021689</v>
      </c>
      <c r="J93" s="1">
        <v>6.537775797</v>
      </c>
      <c r="K93" s="1">
        <v>3.383709875</v>
      </c>
      <c r="L93" s="1">
        <v>25.97829744</v>
      </c>
      <c r="M93" s="1">
        <v>85.52810963</v>
      </c>
      <c r="N93" s="1">
        <v>10.69005698</v>
      </c>
      <c r="O93" s="1">
        <v>3.58408039</v>
      </c>
      <c r="P93" s="1">
        <v>0.1977530006</v>
      </c>
      <c r="Q93" s="2">
        <f t="shared" si="1"/>
        <v>16</v>
      </c>
      <c r="R93" s="2">
        <f t="shared" si="2"/>
        <v>15</v>
      </c>
    </row>
    <row r="94">
      <c r="A94" s="1" t="s">
        <v>111</v>
      </c>
      <c r="B94" s="1">
        <v>3.0</v>
      </c>
      <c r="C94" s="1">
        <v>5094.11377</v>
      </c>
      <c r="D94" s="1">
        <v>80.77099609</v>
      </c>
      <c r="E94" s="1">
        <v>99.81053693</v>
      </c>
      <c r="F94" s="1">
        <v>0.1894594746</v>
      </c>
      <c r="G94" s="1">
        <v>3.594451897E-6</v>
      </c>
      <c r="H94" s="1">
        <v>0.0</v>
      </c>
      <c r="I94" s="1">
        <v>99.64625</v>
      </c>
      <c r="J94" s="1">
        <v>0.35375</v>
      </c>
      <c r="K94" s="1">
        <v>0.0</v>
      </c>
      <c r="L94" s="1">
        <v>0.0</v>
      </c>
      <c r="M94" s="1">
        <v>99.84965286</v>
      </c>
      <c r="N94" s="1">
        <v>0.1503471429</v>
      </c>
      <c r="O94" s="1">
        <v>0.0</v>
      </c>
      <c r="P94" s="1">
        <v>0.0</v>
      </c>
      <c r="Q94" s="2">
        <f t="shared" si="1"/>
        <v>16</v>
      </c>
      <c r="R94" s="2">
        <f t="shared" si="2"/>
        <v>15</v>
      </c>
    </row>
    <row r="95">
      <c r="A95" s="1" t="s">
        <v>112</v>
      </c>
      <c r="B95" s="1">
        <v>2.0</v>
      </c>
      <c r="C95" s="1">
        <v>5101.416016</v>
      </c>
      <c r="D95" s="1">
        <v>76.71899414</v>
      </c>
      <c r="E95" s="1">
        <v>97.88039722</v>
      </c>
      <c r="F95" s="1">
        <v>1.029979486</v>
      </c>
      <c r="G95" s="1">
        <v>1.089623295</v>
      </c>
      <c r="H95" s="1" t="s">
        <v>19</v>
      </c>
      <c r="I95" s="1">
        <v>98.71555642</v>
      </c>
      <c r="J95" s="1">
        <v>0.3174006273</v>
      </c>
      <c r="K95" s="1">
        <v>0.9670429576</v>
      </c>
      <c r="L95" s="1" t="s">
        <v>19</v>
      </c>
      <c r="M95" s="1">
        <v>97.62696443</v>
      </c>
      <c r="N95" s="1">
        <v>1.246217358</v>
      </c>
      <c r="O95" s="1">
        <v>1.126818208</v>
      </c>
      <c r="P95" s="1" t="s">
        <v>19</v>
      </c>
      <c r="Q95" s="2">
        <f t="shared" si="1"/>
        <v>16</v>
      </c>
      <c r="R95" s="2">
        <f t="shared" si="2"/>
        <v>12</v>
      </c>
    </row>
    <row r="96">
      <c r="A96" s="1" t="s">
        <v>113</v>
      </c>
      <c r="B96" s="1">
        <v>4.0</v>
      </c>
      <c r="C96" s="1">
        <v>5106.62207</v>
      </c>
      <c r="D96" s="1">
        <v>86.27599335</v>
      </c>
      <c r="E96" s="1">
        <v>92.16802469</v>
      </c>
      <c r="F96" s="1">
        <v>7.541419893</v>
      </c>
      <c r="G96" s="1">
        <v>0.2604052036</v>
      </c>
      <c r="H96" s="1">
        <v>0.03015021745</v>
      </c>
      <c r="I96" s="1">
        <v>76.25077991</v>
      </c>
      <c r="J96" s="1">
        <v>21.63212113</v>
      </c>
      <c r="K96" s="1">
        <v>1.897409218</v>
      </c>
      <c r="L96" s="1">
        <v>0.2196897375</v>
      </c>
      <c r="M96" s="1">
        <v>94.7</v>
      </c>
      <c r="N96" s="1">
        <v>5.3</v>
      </c>
      <c r="O96" s="1">
        <v>0.0</v>
      </c>
      <c r="P96" s="1">
        <v>0.0</v>
      </c>
      <c r="Q96" s="2">
        <f t="shared" si="1"/>
        <v>16</v>
      </c>
      <c r="R96" s="2">
        <f t="shared" si="2"/>
        <v>15</v>
      </c>
    </row>
    <row r="97">
      <c r="A97" s="1" t="s">
        <v>114</v>
      </c>
      <c r="B97" s="1">
        <v>4.0</v>
      </c>
      <c r="C97" s="1">
        <v>5421.242188</v>
      </c>
      <c r="D97" s="1">
        <v>82.97399139</v>
      </c>
      <c r="E97" s="1">
        <v>99.9999955</v>
      </c>
      <c r="F97" s="1">
        <v>0.0</v>
      </c>
      <c r="G97" s="1">
        <v>4.503407453E-6</v>
      </c>
      <c r="H97" s="1">
        <v>0.0</v>
      </c>
      <c r="I97" s="1">
        <v>100.0</v>
      </c>
      <c r="J97" s="1">
        <v>0.0</v>
      </c>
      <c r="K97" s="1">
        <v>0.0</v>
      </c>
      <c r="L97" s="1">
        <v>0.0</v>
      </c>
      <c r="M97" s="1">
        <v>100.0</v>
      </c>
      <c r="N97" s="1">
        <v>0.0</v>
      </c>
      <c r="O97" s="1">
        <v>0.0</v>
      </c>
      <c r="P97" s="1">
        <v>0.0</v>
      </c>
      <c r="Q97" s="2">
        <f t="shared" si="1"/>
        <v>16</v>
      </c>
      <c r="R97" s="2">
        <f t="shared" si="2"/>
        <v>15</v>
      </c>
    </row>
    <row r="98">
      <c r="A98" s="1" t="s">
        <v>115</v>
      </c>
      <c r="B98" s="1">
        <v>4.0</v>
      </c>
      <c r="C98" s="1">
        <v>5459.643066</v>
      </c>
      <c r="D98" s="1">
        <v>53.75999832</v>
      </c>
      <c r="E98" s="1">
        <v>99.78769858</v>
      </c>
      <c r="F98" s="1">
        <v>0.2123014241</v>
      </c>
      <c r="G98" s="1">
        <v>0.0</v>
      </c>
      <c r="H98" s="1">
        <v>0.0</v>
      </c>
      <c r="I98" s="1">
        <v>100.0</v>
      </c>
      <c r="J98" s="1">
        <v>0.0</v>
      </c>
      <c r="K98" s="1">
        <v>0.0</v>
      </c>
      <c r="L98" s="1">
        <v>0.0</v>
      </c>
      <c r="M98" s="1">
        <v>99.60509406</v>
      </c>
      <c r="N98" s="1">
        <v>0.3949059374</v>
      </c>
      <c r="O98" s="1">
        <v>0.0</v>
      </c>
      <c r="P98" s="1">
        <v>0.0</v>
      </c>
      <c r="Q98" s="2">
        <f t="shared" si="1"/>
        <v>16</v>
      </c>
      <c r="R98" s="2">
        <f t="shared" si="2"/>
        <v>15</v>
      </c>
    </row>
    <row r="99">
      <c r="A99" s="1" t="s">
        <v>116</v>
      </c>
      <c r="B99" s="1">
        <v>2.0</v>
      </c>
      <c r="C99" s="1">
        <v>5518.091797</v>
      </c>
      <c r="D99" s="1">
        <v>67.82900238</v>
      </c>
      <c r="E99" s="1">
        <v>73.78451158</v>
      </c>
      <c r="F99" s="1">
        <v>10.46117203</v>
      </c>
      <c r="G99" s="1">
        <v>9.559180722</v>
      </c>
      <c r="H99" s="1">
        <v>6.195135664</v>
      </c>
      <c r="I99" s="1">
        <v>45.72441318</v>
      </c>
      <c r="J99" s="1">
        <v>10.6323901</v>
      </c>
      <c r="K99" s="1">
        <v>24.40516973</v>
      </c>
      <c r="L99" s="1">
        <v>19.23802699</v>
      </c>
      <c r="M99" s="1">
        <v>87.09329616</v>
      </c>
      <c r="N99" s="1">
        <v>10.37996439</v>
      </c>
      <c r="O99" s="1">
        <v>2.517789997</v>
      </c>
      <c r="P99" s="1">
        <v>0.008949452055</v>
      </c>
      <c r="Q99" s="2">
        <f t="shared" si="1"/>
        <v>16</v>
      </c>
      <c r="R99" s="2">
        <f t="shared" si="2"/>
        <v>15</v>
      </c>
    </row>
    <row r="100">
      <c r="A100" s="1" t="s">
        <v>117</v>
      </c>
      <c r="B100" s="1">
        <v>4.0</v>
      </c>
      <c r="C100" s="1">
        <v>5540.717773</v>
      </c>
      <c r="D100" s="1">
        <v>85.51700592</v>
      </c>
      <c r="E100" s="1">
        <v>100.0000033</v>
      </c>
      <c r="F100" s="1">
        <v>0.0</v>
      </c>
      <c r="G100" s="1">
        <v>0.0</v>
      </c>
      <c r="H100" s="1">
        <v>0.0</v>
      </c>
      <c r="I100" s="1">
        <v>100.0</v>
      </c>
      <c r="J100" s="1">
        <v>0.0</v>
      </c>
      <c r="K100" s="1">
        <v>0.0</v>
      </c>
      <c r="L100" s="1">
        <v>0.0</v>
      </c>
      <c r="M100" s="1">
        <v>100.0</v>
      </c>
      <c r="N100" s="1">
        <v>0.0</v>
      </c>
      <c r="O100" s="1">
        <v>0.0</v>
      </c>
      <c r="P100" s="1">
        <v>0.0</v>
      </c>
      <c r="Q100" s="2">
        <f t="shared" si="1"/>
        <v>16</v>
      </c>
      <c r="R100" s="2">
        <f t="shared" si="2"/>
        <v>15</v>
      </c>
    </row>
    <row r="101">
      <c r="A101" s="1" t="s">
        <v>118</v>
      </c>
      <c r="B101" s="1">
        <v>4.0</v>
      </c>
      <c r="C101" s="1">
        <v>5792.203125</v>
      </c>
      <c r="D101" s="1">
        <v>88.11600494</v>
      </c>
      <c r="E101" s="1">
        <v>100.0000011</v>
      </c>
      <c r="F101" s="1">
        <v>0.0</v>
      </c>
      <c r="G101" s="1">
        <v>0.0</v>
      </c>
      <c r="H101" s="1">
        <v>0.0</v>
      </c>
      <c r="I101" s="1">
        <v>100.0</v>
      </c>
      <c r="J101" s="1">
        <v>0.0</v>
      </c>
      <c r="K101" s="1">
        <v>0.0</v>
      </c>
      <c r="L101" s="1">
        <v>0.0</v>
      </c>
      <c r="M101" s="1">
        <v>100.0</v>
      </c>
      <c r="N101" s="1">
        <v>0.0</v>
      </c>
      <c r="O101" s="1">
        <v>0.0</v>
      </c>
      <c r="P101" s="1">
        <v>0.0</v>
      </c>
      <c r="Q101" s="2">
        <f t="shared" si="1"/>
        <v>16</v>
      </c>
      <c r="R101" s="2">
        <f t="shared" si="2"/>
        <v>15</v>
      </c>
    </row>
    <row r="102">
      <c r="A102" s="1" t="s">
        <v>119</v>
      </c>
      <c r="B102" s="1">
        <v>4.0</v>
      </c>
      <c r="C102" s="1">
        <v>5850.342773</v>
      </c>
      <c r="D102" s="1">
        <v>100.0</v>
      </c>
      <c r="E102" s="1">
        <v>100.0</v>
      </c>
      <c r="F102" s="1">
        <v>0.0</v>
      </c>
      <c r="G102" s="1">
        <v>0.0</v>
      </c>
      <c r="H102" s="1">
        <v>0.0</v>
      </c>
      <c r="I102" s="1" t="s">
        <v>19</v>
      </c>
      <c r="J102" s="1" t="s">
        <v>19</v>
      </c>
      <c r="K102" s="1" t="s">
        <v>19</v>
      </c>
      <c r="L102" s="1" t="s">
        <v>19</v>
      </c>
      <c r="M102" s="1">
        <v>100.0</v>
      </c>
      <c r="N102" s="1">
        <v>0.0</v>
      </c>
      <c r="O102" s="1">
        <v>0.0</v>
      </c>
      <c r="P102" s="1">
        <v>0.0</v>
      </c>
      <c r="Q102" s="2">
        <f t="shared" si="1"/>
        <v>16</v>
      </c>
      <c r="R102" s="2">
        <f t="shared" si="2"/>
        <v>11</v>
      </c>
    </row>
    <row r="103">
      <c r="A103" s="1" t="s">
        <v>120</v>
      </c>
      <c r="B103" s="1">
        <v>3.0</v>
      </c>
      <c r="C103" s="1">
        <v>6031.187012</v>
      </c>
      <c r="D103" s="1">
        <v>52.51600266</v>
      </c>
      <c r="E103" s="1">
        <v>100.0</v>
      </c>
      <c r="F103" s="1">
        <v>0.0</v>
      </c>
      <c r="G103" s="1">
        <v>0.0</v>
      </c>
      <c r="H103" s="1">
        <v>0.0</v>
      </c>
      <c r="I103" s="1">
        <v>100.0</v>
      </c>
      <c r="J103" s="1">
        <v>0.0</v>
      </c>
      <c r="K103" s="1">
        <v>0.0</v>
      </c>
      <c r="L103" s="1">
        <v>0.0</v>
      </c>
      <c r="M103" s="1">
        <v>100.0</v>
      </c>
      <c r="N103" s="1">
        <v>0.0</v>
      </c>
      <c r="O103" s="1">
        <v>0.0</v>
      </c>
      <c r="P103" s="1">
        <v>0.0</v>
      </c>
      <c r="Q103" s="2">
        <f t="shared" si="1"/>
        <v>16</v>
      </c>
      <c r="R103" s="2">
        <f t="shared" si="2"/>
        <v>15</v>
      </c>
    </row>
    <row r="104">
      <c r="A104" s="1" t="s">
        <v>121</v>
      </c>
      <c r="B104" s="1">
        <v>2.0</v>
      </c>
      <c r="C104" s="1">
        <v>6486.201172</v>
      </c>
      <c r="D104" s="1">
        <v>73.44400024</v>
      </c>
      <c r="E104" s="1">
        <v>97.94657541</v>
      </c>
      <c r="F104" s="1">
        <v>0.2072632319</v>
      </c>
      <c r="G104" s="1">
        <v>0.3151739969</v>
      </c>
      <c r="H104" s="1">
        <v>1.530987366</v>
      </c>
      <c r="I104" s="1">
        <v>93.45439508</v>
      </c>
      <c r="J104" s="1">
        <v>0.7804762049</v>
      </c>
      <c r="K104" s="1">
        <v>0.0</v>
      </c>
      <c r="L104" s="1">
        <v>5.765128712</v>
      </c>
      <c r="M104" s="1">
        <v>99.57087001</v>
      </c>
      <c r="N104" s="1">
        <v>0.0</v>
      </c>
      <c r="O104" s="1">
        <v>0.4291299944</v>
      </c>
      <c r="P104" s="1">
        <v>0.0</v>
      </c>
      <c r="Q104" s="2">
        <f t="shared" si="1"/>
        <v>16</v>
      </c>
      <c r="R104" s="2">
        <f t="shared" si="2"/>
        <v>15</v>
      </c>
    </row>
    <row r="105">
      <c r="A105" s="1" t="s">
        <v>122</v>
      </c>
      <c r="B105" s="1" t="s">
        <v>19</v>
      </c>
      <c r="C105" s="1">
        <v>6524.190918</v>
      </c>
      <c r="D105" s="1">
        <v>36.85599899</v>
      </c>
      <c r="E105" s="1">
        <v>91.69930522</v>
      </c>
      <c r="F105" s="1">
        <v>1.900734111</v>
      </c>
      <c r="G105" s="1">
        <v>1.8656487</v>
      </c>
      <c r="H105" s="1">
        <v>4.534311965</v>
      </c>
      <c r="I105" s="1">
        <v>87.258429</v>
      </c>
      <c r="J105" s="1">
        <v>2.606070485</v>
      </c>
      <c r="K105" s="1">
        <v>2.954593684</v>
      </c>
      <c r="L105" s="1">
        <v>7.180906832</v>
      </c>
      <c r="M105" s="1">
        <v>99.30769231</v>
      </c>
      <c r="N105" s="1">
        <v>0.6923076923</v>
      </c>
      <c r="O105" s="1">
        <v>0.0</v>
      </c>
      <c r="P105" s="1">
        <v>0.0</v>
      </c>
      <c r="Q105" s="2">
        <f t="shared" si="1"/>
        <v>16</v>
      </c>
      <c r="R105" s="2">
        <f t="shared" si="2"/>
        <v>14</v>
      </c>
    </row>
    <row r="106">
      <c r="A106" s="1" t="s">
        <v>123</v>
      </c>
      <c r="B106" s="1">
        <v>2.0</v>
      </c>
      <c r="C106" s="1">
        <v>6624.554199</v>
      </c>
      <c r="D106" s="1">
        <v>59.01200104</v>
      </c>
      <c r="E106" s="1">
        <v>81.7087538</v>
      </c>
      <c r="F106" s="1">
        <v>1.506645682</v>
      </c>
      <c r="G106" s="1">
        <v>13.53053114</v>
      </c>
      <c r="H106" s="1">
        <v>3.254069378</v>
      </c>
      <c r="I106" s="1">
        <v>59.10744663</v>
      </c>
      <c r="J106" s="1">
        <v>3.520974285</v>
      </c>
      <c r="K106" s="1">
        <v>29.78017368</v>
      </c>
      <c r="L106" s="1">
        <v>7.5914054</v>
      </c>
      <c r="M106" s="1">
        <v>97.40695661</v>
      </c>
      <c r="N106" s="1">
        <v>0.1075523143</v>
      </c>
      <c r="O106" s="1">
        <v>2.244007656</v>
      </c>
      <c r="P106" s="1">
        <v>0.2414834229</v>
      </c>
      <c r="Q106" s="2">
        <f t="shared" si="1"/>
        <v>16</v>
      </c>
      <c r="R106" s="2">
        <f t="shared" si="2"/>
        <v>15</v>
      </c>
    </row>
    <row r="107">
      <c r="A107" s="1" t="s">
        <v>124</v>
      </c>
      <c r="B107" s="1">
        <v>2.0</v>
      </c>
      <c r="C107" s="1">
        <v>6825.441895</v>
      </c>
      <c r="D107" s="1">
        <v>88.92499542</v>
      </c>
      <c r="E107" s="1">
        <v>92.6</v>
      </c>
      <c r="F107" s="1">
        <v>7.4</v>
      </c>
      <c r="G107" s="1">
        <v>0.0</v>
      </c>
      <c r="H107" s="1">
        <v>0.0</v>
      </c>
      <c r="I107" s="1" t="s">
        <v>19</v>
      </c>
      <c r="J107" s="1" t="s">
        <v>19</v>
      </c>
      <c r="K107" s="1" t="s">
        <v>19</v>
      </c>
      <c r="L107" s="1" t="s">
        <v>19</v>
      </c>
      <c r="M107" s="1" t="s">
        <v>19</v>
      </c>
      <c r="N107" s="1" t="s">
        <v>19</v>
      </c>
      <c r="O107" s="1" t="s">
        <v>19</v>
      </c>
      <c r="P107" s="1" t="s">
        <v>19</v>
      </c>
      <c r="Q107" s="2">
        <f t="shared" si="1"/>
        <v>16</v>
      </c>
      <c r="R107" s="2">
        <f t="shared" si="2"/>
        <v>7</v>
      </c>
    </row>
    <row r="108">
      <c r="A108" s="1" t="s">
        <v>125</v>
      </c>
      <c r="B108" s="1">
        <v>3.0</v>
      </c>
      <c r="C108" s="1">
        <v>6871.287109</v>
      </c>
      <c r="D108" s="1">
        <v>80.69100189</v>
      </c>
      <c r="E108" s="1">
        <v>99.8915238</v>
      </c>
      <c r="F108" s="1">
        <v>0.0</v>
      </c>
      <c r="G108" s="1">
        <v>0.1084762012</v>
      </c>
      <c r="H108" s="1">
        <v>0.0</v>
      </c>
      <c r="I108" s="1" t="s">
        <v>19</v>
      </c>
      <c r="J108" s="1" t="s">
        <v>19</v>
      </c>
      <c r="K108" s="1" t="s">
        <v>19</v>
      </c>
      <c r="L108" s="1" t="s">
        <v>19</v>
      </c>
      <c r="M108" s="1" t="s">
        <v>19</v>
      </c>
      <c r="N108" s="1" t="s">
        <v>19</v>
      </c>
      <c r="O108" s="1" t="s">
        <v>19</v>
      </c>
      <c r="P108" s="1" t="s">
        <v>19</v>
      </c>
      <c r="Q108" s="2">
        <f t="shared" si="1"/>
        <v>16</v>
      </c>
      <c r="R108" s="2">
        <f t="shared" si="2"/>
        <v>7</v>
      </c>
    </row>
    <row r="109">
      <c r="A109" s="1" t="s">
        <v>126</v>
      </c>
      <c r="B109" s="1">
        <v>3.0</v>
      </c>
      <c r="C109" s="1">
        <v>6948.444824</v>
      </c>
      <c r="D109" s="1">
        <v>75.68599701</v>
      </c>
      <c r="E109" s="1">
        <v>99.01141694</v>
      </c>
      <c r="F109" s="1">
        <v>0.0</v>
      </c>
      <c r="G109" s="1">
        <v>0.9885830607</v>
      </c>
      <c r="H109" s="1">
        <v>0.0</v>
      </c>
      <c r="I109" s="1">
        <v>97.40128797</v>
      </c>
      <c r="J109" s="1">
        <v>0.0</v>
      </c>
      <c r="K109" s="1">
        <v>2.598712031</v>
      </c>
      <c r="L109" s="1">
        <v>0.0</v>
      </c>
      <c r="M109" s="1">
        <v>99.5286704</v>
      </c>
      <c r="N109" s="1">
        <v>0.0</v>
      </c>
      <c r="O109" s="1">
        <v>0.4713296007</v>
      </c>
      <c r="P109" s="1">
        <v>0.0</v>
      </c>
      <c r="Q109" s="2">
        <f t="shared" si="1"/>
        <v>16</v>
      </c>
      <c r="R109" s="2">
        <f t="shared" si="2"/>
        <v>15</v>
      </c>
    </row>
    <row r="110">
      <c r="A110" s="1" t="s">
        <v>127</v>
      </c>
      <c r="B110" s="1">
        <v>3.0</v>
      </c>
      <c r="C110" s="1">
        <v>7132.529785</v>
      </c>
      <c r="D110" s="1">
        <v>62.18299484</v>
      </c>
      <c r="E110" s="1">
        <v>99.59346633</v>
      </c>
      <c r="F110" s="1">
        <v>0.4065302439</v>
      </c>
      <c r="G110" s="1">
        <v>3.4229177E-6</v>
      </c>
      <c r="H110" s="1">
        <v>0.0</v>
      </c>
      <c r="I110" s="1">
        <v>99.11122753</v>
      </c>
      <c r="J110" s="1">
        <v>0.8887724684</v>
      </c>
      <c r="K110" s="1">
        <v>0.0</v>
      </c>
      <c r="L110" s="1">
        <v>0.0</v>
      </c>
      <c r="M110" s="1">
        <v>99.88674854</v>
      </c>
      <c r="N110" s="1">
        <v>0.1132514643</v>
      </c>
      <c r="O110" s="1">
        <v>0.0</v>
      </c>
      <c r="P110" s="1">
        <v>0.0</v>
      </c>
      <c r="Q110" s="2">
        <f t="shared" si="1"/>
        <v>16</v>
      </c>
      <c r="R110" s="2">
        <f t="shared" si="2"/>
        <v>15</v>
      </c>
    </row>
    <row r="111">
      <c r="A111" s="1" t="s">
        <v>128</v>
      </c>
      <c r="B111" s="1">
        <v>2.0</v>
      </c>
      <c r="C111" s="1">
        <v>7275.556152</v>
      </c>
      <c r="D111" s="1">
        <v>36.29000092</v>
      </c>
      <c r="E111" s="1">
        <v>85.21974318</v>
      </c>
      <c r="F111" s="1">
        <v>3.566857739</v>
      </c>
      <c r="G111" s="1">
        <v>10.62886799</v>
      </c>
      <c r="H111" s="1">
        <v>0.5845310938</v>
      </c>
      <c r="I111" s="1">
        <v>78.47295942</v>
      </c>
      <c r="J111" s="1">
        <v>5.598583786</v>
      </c>
      <c r="K111" s="1">
        <v>15.0109696</v>
      </c>
      <c r="L111" s="1">
        <v>0.9174871957</v>
      </c>
      <c r="M111" s="1">
        <v>97.06426222</v>
      </c>
      <c r="N111" s="1">
        <v>0.0</v>
      </c>
      <c r="O111" s="1">
        <v>2.935737778</v>
      </c>
      <c r="P111" s="1">
        <v>0.0</v>
      </c>
      <c r="Q111" s="2">
        <f t="shared" si="1"/>
        <v>16</v>
      </c>
      <c r="R111" s="2">
        <f t="shared" si="2"/>
        <v>15</v>
      </c>
    </row>
    <row r="112">
      <c r="A112" s="1" t="s">
        <v>129</v>
      </c>
      <c r="B112" s="1">
        <v>4.0</v>
      </c>
      <c r="C112" s="1">
        <v>7496.987793</v>
      </c>
      <c r="D112" s="1">
        <v>100.0</v>
      </c>
      <c r="E112" s="1">
        <v>100.0</v>
      </c>
      <c r="F112" s="1">
        <v>0.0</v>
      </c>
      <c r="G112" s="1">
        <v>0.0</v>
      </c>
      <c r="H112" s="1">
        <v>0.0</v>
      </c>
      <c r="I112" s="1" t="s">
        <v>19</v>
      </c>
      <c r="J112" s="1" t="s">
        <v>19</v>
      </c>
      <c r="K112" s="1" t="s">
        <v>19</v>
      </c>
      <c r="L112" s="1" t="s">
        <v>19</v>
      </c>
      <c r="M112" s="1">
        <v>100.0</v>
      </c>
      <c r="N112" s="1">
        <v>0.0</v>
      </c>
      <c r="O112" s="1">
        <v>0.0</v>
      </c>
      <c r="P112" s="1">
        <v>0.0</v>
      </c>
      <c r="Q112" s="2">
        <f t="shared" si="1"/>
        <v>16</v>
      </c>
      <c r="R112" s="2">
        <f t="shared" si="2"/>
        <v>11</v>
      </c>
    </row>
    <row r="113">
      <c r="A113" s="1" t="s">
        <v>130</v>
      </c>
      <c r="B113" s="1">
        <v>1.0</v>
      </c>
      <c r="C113" s="1">
        <v>7976.984863</v>
      </c>
      <c r="D113" s="1">
        <v>42.92300034</v>
      </c>
      <c r="E113" s="1">
        <v>63.76628562</v>
      </c>
      <c r="F113" s="1">
        <v>9.023316357</v>
      </c>
      <c r="G113" s="1">
        <v>15.5639457</v>
      </c>
      <c r="H113" s="1">
        <v>11.64645233</v>
      </c>
      <c r="I113" s="1">
        <v>52.75270267</v>
      </c>
      <c r="J113" s="1">
        <v>5.221136889</v>
      </c>
      <c r="K113" s="1">
        <v>23.14294909</v>
      </c>
      <c r="L113" s="1">
        <v>18.88321135</v>
      </c>
      <c r="M113" s="1">
        <v>78.41163766</v>
      </c>
      <c r="N113" s="1">
        <v>14.07927743</v>
      </c>
      <c r="O113" s="1">
        <v>5.485735437</v>
      </c>
      <c r="P113" s="1">
        <v>2.023349475</v>
      </c>
      <c r="Q113" s="2">
        <f t="shared" si="1"/>
        <v>16</v>
      </c>
      <c r="R113" s="2">
        <f t="shared" si="2"/>
        <v>15</v>
      </c>
    </row>
    <row r="114">
      <c r="A114" s="1" t="s">
        <v>131</v>
      </c>
      <c r="B114" s="1">
        <v>1.0</v>
      </c>
      <c r="C114" s="1">
        <v>8278.737305</v>
      </c>
      <c r="D114" s="1">
        <v>42.79999924</v>
      </c>
      <c r="E114" s="1">
        <v>68.58372009</v>
      </c>
      <c r="F114" s="1">
        <v>6.065434765</v>
      </c>
      <c r="G114" s="1">
        <v>14.16432245</v>
      </c>
      <c r="H114" s="1">
        <v>11.18652269</v>
      </c>
      <c r="I114" s="1">
        <v>52.11755275</v>
      </c>
      <c r="J114" s="1">
        <v>8.187542019</v>
      </c>
      <c r="K114" s="1">
        <v>20.7910842</v>
      </c>
      <c r="L114" s="1">
        <v>18.90382103</v>
      </c>
      <c r="M114" s="1">
        <v>90.58991001</v>
      </c>
      <c r="N114" s="1">
        <v>3.229348056</v>
      </c>
      <c r="O114" s="1">
        <v>5.307990528</v>
      </c>
      <c r="P114" s="1">
        <v>0.8727514049</v>
      </c>
      <c r="Q114" s="2">
        <f t="shared" si="1"/>
        <v>16</v>
      </c>
      <c r="R114" s="2">
        <f t="shared" si="2"/>
        <v>15</v>
      </c>
    </row>
    <row r="115">
      <c r="A115" s="1" t="s">
        <v>132</v>
      </c>
      <c r="B115" s="1">
        <v>4.0</v>
      </c>
      <c r="C115" s="1">
        <v>8654.618164</v>
      </c>
      <c r="D115" s="1">
        <v>73.91500092</v>
      </c>
      <c r="E115" s="1">
        <v>100.0000028</v>
      </c>
      <c r="F115" s="1">
        <v>0.0</v>
      </c>
      <c r="G115" s="1">
        <v>0.0</v>
      </c>
      <c r="H115" s="1">
        <v>0.0</v>
      </c>
      <c r="I115" s="1">
        <v>100.0</v>
      </c>
      <c r="J115" s="1">
        <v>0.0</v>
      </c>
      <c r="K115" s="1">
        <v>0.0</v>
      </c>
      <c r="L115" s="1">
        <v>0.0</v>
      </c>
      <c r="M115" s="1">
        <v>100.0</v>
      </c>
      <c r="N115" s="1">
        <v>0.0</v>
      </c>
      <c r="O115" s="1">
        <v>0.0</v>
      </c>
      <c r="P115" s="1">
        <v>0.0</v>
      </c>
      <c r="Q115" s="2">
        <f t="shared" si="1"/>
        <v>16</v>
      </c>
      <c r="R115" s="2">
        <f t="shared" si="2"/>
        <v>15</v>
      </c>
    </row>
    <row r="116">
      <c r="A116" s="1" t="s">
        <v>133</v>
      </c>
      <c r="B116" s="1">
        <v>4.0</v>
      </c>
      <c r="C116" s="1">
        <v>8655.541016</v>
      </c>
      <c r="D116" s="1">
        <v>92.58699799</v>
      </c>
      <c r="E116" s="1">
        <v>100.0</v>
      </c>
      <c r="F116" s="1">
        <v>0.0</v>
      </c>
      <c r="G116" s="1">
        <v>0.0</v>
      </c>
      <c r="H116" s="1">
        <v>0.0</v>
      </c>
      <c r="I116" s="1">
        <v>100.0</v>
      </c>
      <c r="J116" s="1">
        <v>0.0</v>
      </c>
      <c r="K116" s="1">
        <v>0.0</v>
      </c>
      <c r="L116" s="1">
        <v>0.0</v>
      </c>
      <c r="M116" s="1">
        <v>100.0</v>
      </c>
      <c r="N116" s="1">
        <v>0.0</v>
      </c>
      <c r="O116" s="1">
        <v>0.0</v>
      </c>
      <c r="P116" s="1">
        <v>0.0</v>
      </c>
      <c r="Q116" s="2">
        <f t="shared" si="1"/>
        <v>16</v>
      </c>
      <c r="R116" s="2">
        <f t="shared" si="2"/>
        <v>15</v>
      </c>
    </row>
    <row r="117">
      <c r="A117" s="1" t="s">
        <v>134</v>
      </c>
      <c r="B117" s="1">
        <v>3.0</v>
      </c>
      <c r="C117" s="1">
        <v>8737.370117</v>
      </c>
      <c r="D117" s="1">
        <v>56.44599915</v>
      </c>
      <c r="E117" s="1">
        <v>95.29552932</v>
      </c>
      <c r="F117" s="1">
        <v>4.244199279</v>
      </c>
      <c r="G117" s="1">
        <v>0.4437204778</v>
      </c>
      <c r="H117" s="1">
        <v>0.01655092647</v>
      </c>
      <c r="I117" s="1">
        <v>95.84497475</v>
      </c>
      <c r="J117" s="1">
        <v>3.545864028</v>
      </c>
      <c r="K117" s="1">
        <v>0.5711602866</v>
      </c>
      <c r="L117" s="1">
        <v>0.03800093141</v>
      </c>
      <c r="M117" s="1">
        <v>94.87156989</v>
      </c>
      <c r="N117" s="1">
        <v>4.783037865</v>
      </c>
      <c r="O117" s="1">
        <v>0.3453922445</v>
      </c>
      <c r="P117" s="1">
        <v>0.0</v>
      </c>
      <c r="Q117" s="2">
        <f t="shared" si="1"/>
        <v>16</v>
      </c>
      <c r="R117" s="2">
        <f t="shared" si="2"/>
        <v>15</v>
      </c>
    </row>
    <row r="118">
      <c r="A118" s="1" t="s">
        <v>135</v>
      </c>
      <c r="B118" s="1">
        <v>2.0</v>
      </c>
      <c r="C118" s="1">
        <v>8947.027344</v>
      </c>
      <c r="D118" s="1">
        <v>13.34500027</v>
      </c>
      <c r="E118" s="1">
        <v>45.34401752</v>
      </c>
      <c r="F118" s="1">
        <v>2.128564452</v>
      </c>
      <c r="G118" s="1">
        <v>22.15762495</v>
      </c>
      <c r="H118" s="1">
        <v>30.36979308</v>
      </c>
      <c r="I118" s="1">
        <v>39.07134367</v>
      </c>
      <c r="J118" s="1">
        <v>2.429850293</v>
      </c>
      <c r="K118" s="1">
        <v>24.43180086</v>
      </c>
      <c r="L118" s="1">
        <v>34.06700517</v>
      </c>
      <c r="M118" s="1">
        <v>86.07527164</v>
      </c>
      <c r="N118" s="1">
        <v>0.1721822608</v>
      </c>
      <c r="O118" s="1">
        <v>7.390385564</v>
      </c>
      <c r="P118" s="1">
        <v>6.362160532</v>
      </c>
      <c r="Q118" s="2">
        <f t="shared" si="1"/>
        <v>16</v>
      </c>
      <c r="R118" s="2">
        <f t="shared" si="2"/>
        <v>15</v>
      </c>
    </row>
    <row r="119">
      <c r="A119" s="1" t="s">
        <v>136</v>
      </c>
      <c r="B119" s="1">
        <v>4.0</v>
      </c>
      <c r="C119" s="1">
        <v>9006.400391</v>
      </c>
      <c r="D119" s="1">
        <v>58.7480011</v>
      </c>
      <c r="E119" s="1">
        <v>100.0</v>
      </c>
      <c r="F119" s="1">
        <v>0.0</v>
      </c>
      <c r="G119" s="1">
        <v>0.0</v>
      </c>
      <c r="H119" s="1">
        <v>0.0</v>
      </c>
      <c r="I119" s="1">
        <v>100.0</v>
      </c>
      <c r="J119" s="1">
        <v>0.0</v>
      </c>
      <c r="K119" s="1">
        <v>0.0</v>
      </c>
      <c r="L119" s="1">
        <v>0.0</v>
      </c>
      <c r="M119" s="1">
        <v>100.0</v>
      </c>
      <c r="N119" s="1">
        <v>0.0</v>
      </c>
      <c r="O119" s="1">
        <v>0.0</v>
      </c>
      <c r="P119" s="1">
        <v>0.0</v>
      </c>
      <c r="Q119" s="2">
        <f t="shared" si="1"/>
        <v>16</v>
      </c>
      <c r="R119" s="2">
        <f t="shared" si="2"/>
        <v>15</v>
      </c>
    </row>
    <row r="120">
      <c r="A120" s="1" t="s">
        <v>137</v>
      </c>
      <c r="B120" s="1">
        <v>3.0</v>
      </c>
      <c r="C120" s="1">
        <v>9449.321289</v>
      </c>
      <c r="D120" s="1">
        <v>79.48300171</v>
      </c>
      <c r="E120" s="1">
        <v>96.53472608</v>
      </c>
      <c r="F120" s="1">
        <v>3.37211955</v>
      </c>
      <c r="G120" s="1">
        <v>0.09315436837</v>
      </c>
      <c r="H120" s="1">
        <v>0.0</v>
      </c>
      <c r="I120" s="1">
        <v>98.56412231</v>
      </c>
      <c r="J120" s="1">
        <v>0.9955971951</v>
      </c>
      <c r="K120" s="1">
        <v>0.4402804931</v>
      </c>
      <c r="L120" s="1">
        <v>0.0</v>
      </c>
      <c r="M120" s="1">
        <v>96.01087362</v>
      </c>
      <c r="N120" s="1">
        <v>3.985572644</v>
      </c>
      <c r="O120" s="1">
        <v>0.003553731977</v>
      </c>
      <c r="P120" s="1">
        <v>0.0</v>
      </c>
      <c r="Q120" s="2">
        <f t="shared" si="1"/>
        <v>16</v>
      </c>
      <c r="R120" s="2">
        <f t="shared" si="2"/>
        <v>15</v>
      </c>
    </row>
    <row r="121">
      <c r="A121" s="1" t="s">
        <v>138</v>
      </c>
      <c r="B121" s="1">
        <v>2.0</v>
      </c>
      <c r="C121" s="1">
        <v>9537.641602</v>
      </c>
      <c r="D121" s="1">
        <v>27.50599861</v>
      </c>
      <c r="E121" s="1">
        <v>81.85241502</v>
      </c>
      <c r="F121" s="1">
        <v>2.568363935</v>
      </c>
      <c r="G121" s="1">
        <v>3.421857005</v>
      </c>
      <c r="H121" s="1">
        <v>12.15736404</v>
      </c>
      <c r="I121" s="1">
        <v>76.6435992</v>
      </c>
      <c r="J121" s="1">
        <v>3.207143928</v>
      </c>
      <c r="K121" s="1">
        <v>4.140706948</v>
      </c>
      <c r="L121" s="1">
        <v>16.00854992</v>
      </c>
      <c r="M121" s="1">
        <v>95.58062386</v>
      </c>
      <c r="N121" s="1">
        <v>0.8848144763</v>
      </c>
      <c r="O121" s="1">
        <v>1.527268323</v>
      </c>
      <c r="P121" s="1">
        <v>2.007293339</v>
      </c>
      <c r="Q121" s="2">
        <f t="shared" si="1"/>
        <v>16</v>
      </c>
      <c r="R121" s="2">
        <f t="shared" si="2"/>
        <v>15</v>
      </c>
    </row>
    <row r="122">
      <c r="A122" s="1" t="s">
        <v>139</v>
      </c>
      <c r="B122" s="1">
        <v>4.0</v>
      </c>
      <c r="C122" s="1">
        <v>9660.349609</v>
      </c>
      <c r="D122" s="1">
        <v>71.94200134</v>
      </c>
      <c r="E122" s="1">
        <v>99.99999747</v>
      </c>
      <c r="F122" s="1">
        <v>0.0</v>
      </c>
      <c r="G122" s="1">
        <v>2.527244192E-6</v>
      </c>
      <c r="H122" s="1">
        <v>0.0</v>
      </c>
      <c r="I122" s="1">
        <v>100.0</v>
      </c>
      <c r="J122" s="1">
        <v>0.0</v>
      </c>
      <c r="K122" s="1">
        <v>0.0</v>
      </c>
      <c r="L122" s="1">
        <v>0.0</v>
      </c>
      <c r="M122" s="1">
        <v>100.0</v>
      </c>
      <c r="N122" s="1">
        <v>0.0</v>
      </c>
      <c r="O122" s="1">
        <v>0.0</v>
      </c>
      <c r="P122" s="1">
        <v>0.0</v>
      </c>
      <c r="Q122" s="2">
        <f t="shared" si="1"/>
        <v>16</v>
      </c>
      <c r="R122" s="2">
        <f t="shared" si="2"/>
        <v>15</v>
      </c>
    </row>
    <row r="123">
      <c r="A123" s="1" t="s">
        <v>140</v>
      </c>
      <c r="B123" s="1">
        <v>4.0</v>
      </c>
      <c r="C123" s="1">
        <v>9890.400391</v>
      </c>
      <c r="D123" s="1">
        <v>87.04799652</v>
      </c>
      <c r="E123" s="1">
        <v>99.965596</v>
      </c>
      <c r="F123" s="1">
        <v>0.0</v>
      </c>
      <c r="G123" s="1">
        <v>0.034404</v>
      </c>
      <c r="H123" s="1">
        <v>0.0</v>
      </c>
      <c r="I123" s="1" t="s">
        <v>19</v>
      </c>
      <c r="J123" s="1" t="s">
        <v>19</v>
      </c>
      <c r="K123" s="1" t="s">
        <v>19</v>
      </c>
      <c r="L123" s="1" t="s">
        <v>19</v>
      </c>
      <c r="M123" s="1" t="s">
        <v>19</v>
      </c>
      <c r="N123" s="1" t="s">
        <v>19</v>
      </c>
      <c r="O123" s="1" t="s">
        <v>19</v>
      </c>
      <c r="P123" s="1" t="s">
        <v>19</v>
      </c>
      <c r="Q123" s="2">
        <f t="shared" si="1"/>
        <v>16</v>
      </c>
      <c r="R123" s="2">
        <f t="shared" si="2"/>
        <v>7</v>
      </c>
    </row>
    <row r="124">
      <c r="A124" s="1" t="s">
        <v>141</v>
      </c>
      <c r="B124" s="1">
        <v>2.0</v>
      </c>
      <c r="C124" s="1">
        <v>9904.608398</v>
      </c>
      <c r="D124" s="1">
        <v>58.35899734</v>
      </c>
      <c r="E124" s="1">
        <v>95.68922113</v>
      </c>
      <c r="F124" s="1">
        <v>0.4256206085</v>
      </c>
      <c r="G124" s="1">
        <v>3.885158264</v>
      </c>
      <c r="H124" s="1">
        <v>0.0</v>
      </c>
      <c r="I124" s="1">
        <v>89.87579955</v>
      </c>
      <c r="J124" s="1">
        <v>0.8067095079</v>
      </c>
      <c r="K124" s="1">
        <v>9.317490946</v>
      </c>
      <c r="L124" s="1">
        <v>0.0</v>
      </c>
      <c r="M124" s="1">
        <v>99.83728281</v>
      </c>
      <c r="N124" s="1">
        <v>0.1537015262</v>
      </c>
      <c r="O124" s="1">
        <v>0.009015663296</v>
      </c>
      <c r="P124" s="1">
        <v>0.0</v>
      </c>
      <c r="Q124" s="2">
        <f t="shared" si="1"/>
        <v>16</v>
      </c>
      <c r="R124" s="2">
        <f t="shared" si="2"/>
        <v>15</v>
      </c>
    </row>
    <row r="125">
      <c r="A125" s="1" t="s">
        <v>142</v>
      </c>
      <c r="B125" s="1">
        <v>4.0</v>
      </c>
      <c r="C125" s="1">
        <v>10099.26953</v>
      </c>
      <c r="D125" s="1">
        <v>87.97699738</v>
      </c>
      <c r="E125" s="1">
        <v>99.82686763</v>
      </c>
      <c r="F125" s="1">
        <v>0.0</v>
      </c>
      <c r="G125" s="1">
        <v>0.1731323735</v>
      </c>
      <c r="H125" s="1">
        <v>0.0</v>
      </c>
      <c r="I125" s="1">
        <v>99.71937474</v>
      </c>
      <c r="J125" s="1">
        <v>0.0</v>
      </c>
      <c r="K125" s="1">
        <v>0.2806252626</v>
      </c>
      <c r="L125" s="1">
        <v>0.0</v>
      </c>
      <c r="M125" s="1">
        <v>99.84155768</v>
      </c>
      <c r="N125" s="1">
        <v>0.0</v>
      </c>
      <c r="O125" s="1">
        <v>0.1584423157</v>
      </c>
      <c r="P125" s="1">
        <v>0.0</v>
      </c>
      <c r="Q125" s="2">
        <f t="shared" si="1"/>
        <v>16</v>
      </c>
      <c r="R125" s="2">
        <f t="shared" si="2"/>
        <v>15</v>
      </c>
    </row>
    <row r="126">
      <c r="A126" s="1" t="s">
        <v>143</v>
      </c>
      <c r="B126" s="1">
        <v>3.0</v>
      </c>
      <c r="C126" s="1">
        <v>10139.1748</v>
      </c>
      <c r="D126" s="1">
        <v>56.39700317</v>
      </c>
      <c r="E126" s="1">
        <v>96.04337613</v>
      </c>
      <c r="F126" s="1">
        <v>1.04278118</v>
      </c>
      <c r="G126" s="1">
        <v>2.913842688</v>
      </c>
      <c r="H126" s="1">
        <v>0.0</v>
      </c>
      <c r="I126" s="1">
        <v>90.92579795</v>
      </c>
      <c r="J126" s="1">
        <v>2.391535671</v>
      </c>
      <c r="K126" s="1">
        <v>6.682666377</v>
      </c>
      <c r="L126" s="1">
        <v>0.0</v>
      </c>
      <c r="M126" s="1">
        <v>100.0</v>
      </c>
      <c r="N126" s="1">
        <v>0.0</v>
      </c>
      <c r="O126" s="1">
        <v>0.0</v>
      </c>
      <c r="P126" s="1">
        <v>0.0</v>
      </c>
      <c r="Q126" s="2">
        <f t="shared" si="1"/>
        <v>16</v>
      </c>
      <c r="R126" s="2">
        <f t="shared" si="2"/>
        <v>15</v>
      </c>
    </row>
    <row r="127">
      <c r="A127" s="1" t="s">
        <v>144</v>
      </c>
      <c r="B127" s="1">
        <v>4.0</v>
      </c>
      <c r="C127" s="1">
        <v>10196.70703</v>
      </c>
      <c r="D127" s="1">
        <v>66.30999756</v>
      </c>
      <c r="E127" s="1">
        <v>99.91199367</v>
      </c>
      <c r="F127" s="1">
        <v>0.0</v>
      </c>
      <c r="G127" s="1">
        <v>0.08800633369</v>
      </c>
      <c r="H127" s="1">
        <v>0.0</v>
      </c>
      <c r="I127" s="1">
        <v>99.73877609</v>
      </c>
      <c r="J127" s="1">
        <v>0.0</v>
      </c>
      <c r="K127" s="1">
        <v>0.2612239122</v>
      </c>
      <c r="L127" s="1">
        <v>0.0</v>
      </c>
      <c r="M127" s="1">
        <v>100.0</v>
      </c>
      <c r="N127" s="1">
        <v>0.0</v>
      </c>
      <c r="O127" s="1">
        <v>0.0</v>
      </c>
      <c r="P127" s="1">
        <v>0.0</v>
      </c>
      <c r="Q127" s="2">
        <f t="shared" si="1"/>
        <v>16</v>
      </c>
      <c r="R127" s="2">
        <f t="shared" si="2"/>
        <v>15</v>
      </c>
    </row>
    <row r="128">
      <c r="A128" s="1" t="s">
        <v>145</v>
      </c>
      <c r="B128" s="1">
        <v>3.0</v>
      </c>
      <c r="C128" s="1">
        <v>10203.13965</v>
      </c>
      <c r="D128" s="1">
        <v>91.41799927</v>
      </c>
      <c r="E128" s="1">
        <v>98.94030296</v>
      </c>
      <c r="F128" s="1">
        <v>0.1462147369</v>
      </c>
      <c r="G128" s="1">
        <v>0.8536474704</v>
      </c>
      <c r="H128" s="1">
        <v>0.05983483179</v>
      </c>
      <c r="I128" s="1">
        <v>97.31147869</v>
      </c>
      <c r="J128" s="1">
        <v>0.6239465945</v>
      </c>
      <c r="K128" s="1">
        <v>2.024714716</v>
      </c>
      <c r="L128" s="1">
        <v>0.03986</v>
      </c>
      <c r="M128" s="1">
        <v>99.09321259</v>
      </c>
      <c r="N128" s="1">
        <v>0.1013669408</v>
      </c>
      <c r="O128" s="1">
        <v>0.7437104707</v>
      </c>
      <c r="P128" s="1">
        <v>0.06171</v>
      </c>
      <c r="Q128" s="2">
        <f t="shared" si="1"/>
        <v>16</v>
      </c>
      <c r="R128" s="2">
        <f t="shared" si="2"/>
        <v>15</v>
      </c>
    </row>
    <row r="129">
      <c r="A129" s="1" t="s">
        <v>146</v>
      </c>
      <c r="B129" s="1">
        <v>4.0</v>
      </c>
      <c r="C129" s="1">
        <v>10423.05566</v>
      </c>
      <c r="D129" s="1">
        <v>79.71500397</v>
      </c>
      <c r="E129" s="1">
        <v>100.0000023</v>
      </c>
      <c r="F129" s="1">
        <v>0.0</v>
      </c>
      <c r="G129" s="1">
        <v>0.0</v>
      </c>
      <c r="H129" s="1">
        <v>0.0</v>
      </c>
      <c r="I129" s="1">
        <v>100.0</v>
      </c>
      <c r="J129" s="1">
        <v>0.0</v>
      </c>
      <c r="K129" s="1">
        <v>0.0</v>
      </c>
      <c r="L129" s="1">
        <v>0.0</v>
      </c>
      <c r="M129" s="1">
        <v>100.0</v>
      </c>
      <c r="N129" s="1">
        <v>0.0</v>
      </c>
      <c r="O129" s="1">
        <v>0.0</v>
      </c>
      <c r="P129" s="1">
        <v>0.0</v>
      </c>
      <c r="Q129" s="2">
        <f t="shared" si="1"/>
        <v>16</v>
      </c>
      <c r="R129" s="2">
        <f t="shared" si="2"/>
        <v>15</v>
      </c>
    </row>
    <row r="130">
      <c r="A130" s="1" t="s">
        <v>147</v>
      </c>
      <c r="B130" s="1">
        <v>4.0</v>
      </c>
      <c r="C130" s="1">
        <v>10708.98242</v>
      </c>
      <c r="D130" s="1">
        <v>74.06100464</v>
      </c>
      <c r="E130" s="1">
        <v>99.88059167</v>
      </c>
      <c r="F130" s="1">
        <v>0.0</v>
      </c>
      <c r="G130" s="1">
        <v>0.1194083325</v>
      </c>
      <c r="H130" s="1">
        <v>0.0</v>
      </c>
      <c r="I130" s="1">
        <v>99.8175993</v>
      </c>
      <c r="J130" s="1">
        <v>0.0</v>
      </c>
      <c r="K130" s="1">
        <v>0.1824006965</v>
      </c>
      <c r="L130" s="1">
        <v>0.0</v>
      </c>
      <c r="M130" s="1">
        <v>99.90265093</v>
      </c>
      <c r="N130" s="1">
        <v>0.0</v>
      </c>
      <c r="O130" s="1">
        <v>0.0973490679</v>
      </c>
      <c r="P130" s="1">
        <v>0.0</v>
      </c>
      <c r="Q130" s="2">
        <f t="shared" si="1"/>
        <v>16</v>
      </c>
      <c r="R130" s="2">
        <f t="shared" si="2"/>
        <v>15</v>
      </c>
    </row>
    <row r="131">
      <c r="A131" s="1" t="s">
        <v>148</v>
      </c>
      <c r="B131" s="1">
        <v>3.0</v>
      </c>
      <c r="C131" s="1">
        <v>10847.9043</v>
      </c>
      <c r="D131" s="1">
        <v>82.54000092</v>
      </c>
      <c r="E131" s="1">
        <v>96.68681192</v>
      </c>
      <c r="F131" s="1">
        <v>0.4670386504</v>
      </c>
      <c r="G131" s="1">
        <v>1.269428783</v>
      </c>
      <c r="H131" s="1">
        <v>1.576720644</v>
      </c>
      <c r="I131" s="1">
        <v>90.30446437</v>
      </c>
      <c r="J131" s="1">
        <v>1.385315508</v>
      </c>
      <c r="K131" s="1">
        <v>1.115118127</v>
      </c>
      <c r="L131" s="1">
        <v>7.195101991</v>
      </c>
      <c r="M131" s="1">
        <v>98.03689158</v>
      </c>
      <c r="N131" s="1">
        <v>0.2727920359</v>
      </c>
      <c r="O131" s="1">
        <v>1.302073396</v>
      </c>
      <c r="P131" s="1">
        <v>0.3882429922</v>
      </c>
      <c r="Q131" s="2">
        <f t="shared" si="1"/>
        <v>16</v>
      </c>
      <c r="R131" s="2">
        <f t="shared" si="2"/>
        <v>15</v>
      </c>
    </row>
    <row r="132">
      <c r="A132" s="1" t="s">
        <v>149</v>
      </c>
      <c r="B132" s="1">
        <v>1.0</v>
      </c>
      <c r="C132" s="1">
        <v>11193.72852</v>
      </c>
      <c r="D132" s="1">
        <v>20.1989994</v>
      </c>
      <c r="E132" s="1">
        <v>40.95092717</v>
      </c>
      <c r="F132" s="1">
        <v>37.42696287</v>
      </c>
      <c r="G132" s="1">
        <v>13.53755519</v>
      </c>
      <c r="H132" s="1">
        <v>8.084554762</v>
      </c>
      <c r="I132" s="1">
        <v>33.59362881</v>
      </c>
      <c r="J132" s="1">
        <v>42.16438068</v>
      </c>
      <c r="K132" s="1">
        <v>14.11109616</v>
      </c>
      <c r="L132" s="1">
        <v>10.13089435</v>
      </c>
      <c r="M132" s="1">
        <v>70.01770445</v>
      </c>
      <c r="N132" s="1">
        <v>18.71066092</v>
      </c>
      <c r="O132" s="1">
        <v>11.27163464</v>
      </c>
      <c r="P132" s="1">
        <v>0.0</v>
      </c>
      <c r="Q132" s="2">
        <f t="shared" si="1"/>
        <v>16</v>
      </c>
      <c r="R132" s="2">
        <f t="shared" si="2"/>
        <v>15</v>
      </c>
    </row>
    <row r="133">
      <c r="A133" s="1" t="s">
        <v>150</v>
      </c>
      <c r="B133" s="1">
        <v>3.0</v>
      </c>
      <c r="C133" s="1">
        <v>11326.61621</v>
      </c>
      <c r="D133" s="1">
        <v>77.19400024</v>
      </c>
      <c r="E133" s="1">
        <v>97.00269616</v>
      </c>
      <c r="F133" s="1">
        <v>1.471384542</v>
      </c>
      <c r="G133" s="1">
        <v>1.252811506</v>
      </c>
      <c r="H133" s="1">
        <v>0.2731077963</v>
      </c>
      <c r="I133" s="1">
        <v>94.38665114</v>
      </c>
      <c r="J133" s="1">
        <v>2.591752445</v>
      </c>
      <c r="K133" s="1">
        <v>1.905972935</v>
      </c>
      <c r="L133" s="1">
        <v>1.115623477</v>
      </c>
      <c r="M133" s="1">
        <v>97.77557664</v>
      </c>
      <c r="N133" s="1">
        <v>1.1403859</v>
      </c>
      <c r="O133" s="1">
        <v>1.059840374</v>
      </c>
      <c r="P133" s="1">
        <v>0.02419708411</v>
      </c>
      <c r="Q133" s="2">
        <f t="shared" si="1"/>
        <v>16</v>
      </c>
      <c r="R133" s="2">
        <f t="shared" si="2"/>
        <v>15</v>
      </c>
    </row>
    <row r="134">
      <c r="A134" s="1" t="s">
        <v>151</v>
      </c>
      <c r="B134" s="1">
        <v>2.0</v>
      </c>
      <c r="C134" s="1">
        <v>11402.5332</v>
      </c>
      <c r="D134" s="1">
        <v>57.08799744</v>
      </c>
      <c r="E134" s="1">
        <v>66.6953084</v>
      </c>
      <c r="F134" s="1">
        <v>9.814543652</v>
      </c>
      <c r="G134" s="1">
        <v>23.49014795</v>
      </c>
      <c r="H134" s="1">
        <v>0.0</v>
      </c>
      <c r="I134" s="1">
        <v>42.8457001</v>
      </c>
      <c r="J134" s="1">
        <v>13.25598695</v>
      </c>
      <c r="K134" s="1">
        <v>43.89831295</v>
      </c>
      <c r="L134" s="1">
        <v>0.0</v>
      </c>
      <c r="M134" s="1">
        <v>84.62262129</v>
      </c>
      <c r="N134" s="1">
        <v>7.227673879</v>
      </c>
      <c r="O134" s="1">
        <v>8.149704835</v>
      </c>
      <c r="P134" s="1">
        <v>0.0</v>
      </c>
      <c r="Q134" s="2">
        <f t="shared" si="1"/>
        <v>16</v>
      </c>
      <c r="R134" s="2">
        <f t="shared" si="2"/>
        <v>15</v>
      </c>
    </row>
    <row r="135">
      <c r="A135" s="1" t="s">
        <v>152</v>
      </c>
      <c r="B135" s="1">
        <v>4.0</v>
      </c>
      <c r="C135" s="1">
        <v>11589.61621</v>
      </c>
      <c r="D135" s="1">
        <v>98.07899475</v>
      </c>
      <c r="E135" s="1">
        <v>99.99999645</v>
      </c>
      <c r="F135" s="1">
        <v>0.0</v>
      </c>
      <c r="G135" s="1">
        <v>3.554796791E-6</v>
      </c>
      <c r="H135" s="1">
        <v>0.0</v>
      </c>
      <c r="I135" s="1">
        <v>100.0</v>
      </c>
      <c r="J135" s="1">
        <v>0.0</v>
      </c>
      <c r="K135" s="1">
        <v>0.0</v>
      </c>
      <c r="L135" s="1">
        <v>0.0</v>
      </c>
      <c r="M135" s="1">
        <v>100.0</v>
      </c>
      <c r="N135" s="1">
        <v>0.0</v>
      </c>
      <c r="O135" s="1">
        <v>0.0</v>
      </c>
      <c r="P135" s="1">
        <v>0.0</v>
      </c>
      <c r="Q135" s="2">
        <f t="shared" si="1"/>
        <v>16</v>
      </c>
      <c r="R135" s="2">
        <f t="shared" si="2"/>
        <v>15</v>
      </c>
    </row>
    <row r="136">
      <c r="A136" s="1" t="s">
        <v>153</v>
      </c>
      <c r="B136" s="1">
        <v>2.0</v>
      </c>
      <c r="C136" s="1">
        <v>11673.0293</v>
      </c>
      <c r="D136" s="1">
        <v>70.1230011</v>
      </c>
      <c r="E136" s="1">
        <v>93.39007163</v>
      </c>
      <c r="F136" s="1">
        <v>0.1365905296</v>
      </c>
      <c r="G136" s="1">
        <v>1.575010843</v>
      </c>
      <c r="H136" s="1">
        <v>4.898326997</v>
      </c>
      <c r="I136" s="1">
        <v>79.93664283</v>
      </c>
      <c r="J136" s="1">
        <v>0.2447364082</v>
      </c>
      <c r="K136" s="1">
        <v>3.954133693</v>
      </c>
      <c r="L136" s="1">
        <v>15.86448707</v>
      </c>
      <c r="M136" s="1">
        <v>99.12211832</v>
      </c>
      <c r="N136" s="1">
        <v>0.09051328947</v>
      </c>
      <c r="O136" s="1">
        <v>0.5613453808</v>
      </c>
      <c r="P136" s="1">
        <v>0.2260230112</v>
      </c>
      <c r="Q136" s="2">
        <f t="shared" si="1"/>
        <v>16</v>
      </c>
      <c r="R136" s="2">
        <f t="shared" si="2"/>
        <v>15</v>
      </c>
    </row>
    <row r="137">
      <c r="A137" s="1" t="s">
        <v>154</v>
      </c>
      <c r="B137" s="1">
        <v>2.0</v>
      </c>
      <c r="C137" s="1">
        <v>11818.61816</v>
      </c>
      <c r="D137" s="1">
        <v>69.56800079</v>
      </c>
      <c r="E137" s="1">
        <v>97.54330899</v>
      </c>
      <c r="F137" s="1">
        <v>1.63135067</v>
      </c>
      <c r="G137" s="1">
        <v>0.8253403378</v>
      </c>
      <c r="H137" s="1">
        <v>0.0</v>
      </c>
      <c r="I137" s="1">
        <v>93.93623193</v>
      </c>
      <c r="J137" s="1">
        <v>3.351687357</v>
      </c>
      <c r="K137" s="1">
        <v>2.71208071</v>
      </c>
      <c r="L137" s="1">
        <v>0.0</v>
      </c>
      <c r="M137" s="1">
        <v>99.12119763</v>
      </c>
      <c r="N137" s="1">
        <v>0.8788023684</v>
      </c>
      <c r="O137" s="1">
        <v>0.0</v>
      </c>
      <c r="P137" s="1">
        <v>0.0</v>
      </c>
      <c r="Q137" s="2">
        <f t="shared" si="1"/>
        <v>16</v>
      </c>
      <c r="R137" s="2">
        <f t="shared" si="2"/>
        <v>15</v>
      </c>
    </row>
    <row r="138">
      <c r="A138" s="1" t="s">
        <v>155</v>
      </c>
      <c r="B138" s="1">
        <v>1.0</v>
      </c>
      <c r="C138" s="1">
        <v>11890.78125</v>
      </c>
      <c r="D138" s="1">
        <v>13.70800018</v>
      </c>
      <c r="E138" s="1">
        <v>62.20712225</v>
      </c>
      <c r="F138" s="1">
        <v>19.43969314</v>
      </c>
      <c r="G138" s="1">
        <v>14.75825969</v>
      </c>
      <c r="H138" s="1">
        <v>3.594924913</v>
      </c>
      <c r="I138" s="1">
        <v>57.68576527</v>
      </c>
      <c r="J138" s="1">
        <v>21.25148213</v>
      </c>
      <c r="K138" s="1">
        <v>16.89675238</v>
      </c>
      <c r="L138" s="1">
        <v>4.166000219</v>
      </c>
      <c r="M138" s="1">
        <v>90.66911086</v>
      </c>
      <c r="N138" s="1">
        <v>8.034462869</v>
      </c>
      <c r="O138" s="1">
        <v>1.296426269</v>
      </c>
      <c r="P138" s="1">
        <v>0.0</v>
      </c>
      <c r="Q138" s="2">
        <f t="shared" si="1"/>
        <v>16</v>
      </c>
      <c r="R138" s="2">
        <f t="shared" si="2"/>
        <v>15</v>
      </c>
    </row>
    <row r="139">
      <c r="A139" s="1" t="s">
        <v>156</v>
      </c>
      <c r="B139" s="1">
        <v>2.0</v>
      </c>
      <c r="C139" s="1">
        <v>12123.19824</v>
      </c>
      <c r="D139" s="1">
        <v>48.4149971</v>
      </c>
      <c r="E139" s="1">
        <v>65.41412299</v>
      </c>
      <c r="F139" s="1">
        <v>9.317535586</v>
      </c>
      <c r="G139" s="1">
        <v>21.97254088</v>
      </c>
      <c r="H139" s="1">
        <v>3.295800547</v>
      </c>
      <c r="I139" s="1">
        <v>58.05226799</v>
      </c>
      <c r="J139" s="1">
        <v>12.70520504</v>
      </c>
      <c r="K139" s="1">
        <v>23.97796833</v>
      </c>
      <c r="L139" s="1">
        <v>5.264558634</v>
      </c>
      <c r="M139" s="1">
        <v>73.25800004</v>
      </c>
      <c r="N139" s="1">
        <v>5.708056353</v>
      </c>
      <c r="O139" s="1">
        <v>19.83580681</v>
      </c>
      <c r="P139" s="1">
        <v>1.198136794</v>
      </c>
      <c r="Q139" s="2">
        <f t="shared" si="1"/>
        <v>16</v>
      </c>
      <c r="R139" s="2">
        <f t="shared" si="2"/>
        <v>15</v>
      </c>
    </row>
    <row r="140">
      <c r="A140" s="1" t="s">
        <v>157</v>
      </c>
      <c r="B140" s="1">
        <v>1.0</v>
      </c>
      <c r="C140" s="1">
        <v>12952.20898</v>
      </c>
      <c r="D140" s="1">
        <v>17.43200111</v>
      </c>
      <c r="E140" s="1">
        <v>60.41450115</v>
      </c>
      <c r="F140" s="1">
        <v>22.3207193</v>
      </c>
      <c r="G140" s="1">
        <v>13.15480415</v>
      </c>
      <c r="H140" s="1">
        <v>4.109975401</v>
      </c>
      <c r="I140" s="1">
        <v>55.64246823</v>
      </c>
      <c r="J140" s="1">
        <v>25.08014133</v>
      </c>
      <c r="K140" s="1">
        <v>14.77886772</v>
      </c>
      <c r="L140" s="1">
        <v>4.498522714</v>
      </c>
      <c r="M140" s="1">
        <v>83.0175993</v>
      </c>
      <c r="N140" s="1">
        <v>9.250506251</v>
      </c>
      <c r="O140" s="1">
        <v>5.462303057</v>
      </c>
      <c r="P140" s="1">
        <v>2.269591394</v>
      </c>
      <c r="Q140" s="2">
        <f t="shared" si="1"/>
        <v>16</v>
      </c>
      <c r="R140" s="2">
        <f t="shared" si="2"/>
        <v>15</v>
      </c>
    </row>
    <row r="141">
      <c r="A141" s="1" t="s">
        <v>158</v>
      </c>
      <c r="B141" s="1">
        <v>1.0</v>
      </c>
      <c r="C141" s="1">
        <v>13132.79199</v>
      </c>
      <c r="D141" s="1">
        <v>36.875</v>
      </c>
      <c r="E141" s="1">
        <v>63.96178874</v>
      </c>
      <c r="F141" s="1">
        <v>21.2815915</v>
      </c>
      <c r="G141" s="1">
        <v>6.296119406</v>
      </c>
      <c r="H141" s="1">
        <v>8.460500354</v>
      </c>
      <c r="I141" s="1">
        <v>50.74817899</v>
      </c>
      <c r="J141" s="1">
        <v>26.14432944</v>
      </c>
      <c r="K141" s="1">
        <v>9.704719143</v>
      </c>
      <c r="L141" s="1">
        <v>13.40277243</v>
      </c>
      <c r="M141" s="1">
        <v>86.58169007</v>
      </c>
      <c r="N141" s="1">
        <v>12.95724153</v>
      </c>
      <c r="O141" s="1">
        <v>0.461068398</v>
      </c>
      <c r="P141" s="1">
        <v>0.0</v>
      </c>
      <c r="Q141" s="2">
        <f t="shared" si="1"/>
        <v>16</v>
      </c>
      <c r="R141" s="2">
        <f t="shared" si="2"/>
        <v>15</v>
      </c>
    </row>
    <row r="142">
      <c r="A142" s="1" t="s">
        <v>159</v>
      </c>
      <c r="B142" s="1">
        <v>2.0</v>
      </c>
      <c r="C142" s="1">
        <v>14862.92676</v>
      </c>
      <c r="D142" s="1">
        <v>32.24200058</v>
      </c>
      <c r="E142" s="1">
        <v>62.66645761</v>
      </c>
      <c r="F142" s="1">
        <v>14.1975397</v>
      </c>
      <c r="G142" s="1">
        <v>16.27785545</v>
      </c>
      <c r="H142" s="1">
        <v>6.858147242</v>
      </c>
      <c r="I142" s="1">
        <v>48.28242885</v>
      </c>
      <c r="J142" s="1">
        <v>18.59098467</v>
      </c>
      <c r="K142" s="1">
        <v>23.01364655</v>
      </c>
      <c r="L142" s="1">
        <v>10.11293992</v>
      </c>
      <c r="M142" s="1">
        <v>92.89512895</v>
      </c>
      <c r="N142" s="1">
        <v>4.964517757</v>
      </c>
      <c r="O142" s="1">
        <v>2.122298674</v>
      </c>
      <c r="P142" s="1">
        <v>0.01805461538</v>
      </c>
      <c r="Q142" s="2">
        <f t="shared" si="1"/>
        <v>16</v>
      </c>
      <c r="R142" s="2">
        <f t="shared" si="2"/>
        <v>15</v>
      </c>
    </row>
    <row r="143">
      <c r="A143" s="1" t="s">
        <v>160</v>
      </c>
      <c r="B143" s="1">
        <v>1.0</v>
      </c>
      <c r="C143" s="1">
        <v>15893.21875</v>
      </c>
      <c r="D143" s="1">
        <v>46.14099884</v>
      </c>
      <c r="E143" s="1">
        <v>56.47697339</v>
      </c>
      <c r="F143" s="1">
        <v>27.70419956</v>
      </c>
      <c r="G143" s="1">
        <v>13.41704303</v>
      </c>
      <c r="H143" s="1">
        <v>2.401784021</v>
      </c>
      <c r="I143" s="1">
        <v>37.07586282</v>
      </c>
      <c r="J143" s="1">
        <v>36.64324958</v>
      </c>
      <c r="K143" s="1">
        <v>21.82149546</v>
      </c>
      <c r="L143" s="1">
        <v>4.459392143</v>
      </c>
      <c r="M143" s="1">
        <v>79.12330574</v>
      </c>
      <c r="N143" s="1">
        <v>17.26991556</v>
      </c>
      <c r="O143" s="1">
        <v>3.606778703</v>
      </c>
      <c r="P143" s="1">
        <v>0.0</v>
      </c>
      <c r="Q143" s="2">
        <f t="shared" si="1"/>
        <v>16</v>
      </c>
      <c r="R143" s="2">
        <f t="shared" si="2"/>
        <v>15</v>
      </c>
    </row>
    <row r="144">
      <c r="A144" s="1" t="s">
        <v>161</v>
      </c>
      <c r="B144" s="1">
        <v>1.0</v>
      </c>
      <c r="C144" s="1">
        <v>16425.85938</v>
      </c>
      <c r="D144" s="1">
        <v>23.52000046</v>
      </c>
      <c r="E144" s="1">
        <v>46.18753479</v>
      </c>
      <c r="F144" s="1">
        <v>14.74028929</v>
      </c>
      <c r="G144" s="1">
        <v>31.56245714</v>
      </c>
      <c r="H144" s="1">
        <v>7.509718784</v>
      </c>
      <c r="I144" s="1">
        <v>37.57521525</v>
      </c>
      <c r="J144" s="1">
        <v>14.35396111</v>
      </c>
      <c r="K144" s="1">
        <v>38.52496761</v>
      </c>
      <c r="L144" s="1">
        <v>9.545856027</v>
      </c>
      <c r="M144" s="1">
        <v>74.19222309</v>
      </c>
      <c r="N144" s="1">
        <v>15.99651381</v>
      </c>
      <c r="O144" s="1">
        <v>8.922452721</v>
      </c>
      <c r="P144" s="1">
        <v>0.8888103843</v>
      </c>
      <c r="Q144" s="2">
        <f t="shared" si="1"/>
        <v>16</v>
      </c>
      <c r="R144" s="2">
        <f t="shared" si="2"/>
        <v>15</v>
      </c>
    </row>
    <row r="145">
      <c r="A145" s="1" t="s">
        <v>162</v>
      </c>
      <c r="B145" s="1">
        <v>2.0</v>
      </c>
      <c r="C145" s="1">
        <v>16718.9707</v>
      </c>
      <c r="D145" s="1">
        <v>24.23200035</v>
      </c>
      <c r="E145" s="1">
        <v>71.21988497</v>
      </c>
      <c r="F145" s="1">
        <v>13.90222204</v>
      </c>
      <c r="G145" s="1">
        <v>5.677218558</v>
      </c>
      <c r="H145" s="1">
        <v>9.200674434</v>
      </c>
      <c r="I145" s="1">
        <v>65.06715583</v>
      </c>
      <c r="J145" s="1">
        <v>15.51772278</v>
      </c>
      <c r="K145" s="1">
        <v>7.492899307</v>
      </c>
      <c r="L145" s="1">
        <v>11.92222209</v>
      </c>
      <c r="M145" s="1">
        <v>90.45807717</v>
      </c>
      <c r="N145" s="1">
        <v>8.85091472</v>
      </c>
      <c r="O145" s="1">
        <v>0.0</v>
      </c>
      <c r="P145" s="1">
        <v>0.6910081144</v>
      </c>
      <c r="Q145" s="2">
        <f t="shared" si="1"/>
        <v>16</v>
      </c>
      <c r="R145" s="2">
        <f t="shared" si="2"/>
        <v>15</v>
      </c>
    </row>
    <row r="146">
      <c r="A146" s="1" t="s">
        <v>163</v>
      </c>
      <c r="B146" s="1">
        <v>2.0</v>
      </c>
      <c r="C146" s="1">
        <v>16743.92969</v>
      </c>
      <c r="D146" s="1">
        <v>48.12200165</v>
      </c>
      <c r="E146" s="1">
        <v>84.90523779</v>
      </c>
      <c r="F146" s="1">
        <v>2.387217509</v>
      </c>
      <c r="G146" s="1">
        <v>12.60781566</v>
      </c>
      <c r="H146" s="1">
        <v>0.09972904042</v>
      </c>
      <c r="I146" s="1">
        <v>75.2429282</v>
      </c>
      <c r="J146" s="1">
        <v>4.052382433</v>
      </c>
      <c r="K146" s="1">
        <v>20.51245174</v>
      </c>
      <c r="L146" s="1">
        <v>0.1922376314</v>
      </c>
      <c r="M146" s="1">
        <v>95.32170094</v>
      </c>
      <c r="N146" s="1">
        <v>0.5920836567</v>
      </c>
      <c r="O146" s="1">
        <v>4.086215402</v>
      </c>
      <c r="P146" s="1">
        <v>0.0</v>
      </c>
      <c r="Q146" s="2">
        <f t="shared" si="1"/>
        <v>16</v>
      </c>
      <c r="R146" s="2">
        <f t="shared" si="2"/>
        <v>15</v>
      </c>
    </row>
    <row r="147">
      <c r="A147" s="1" t="s">
        <v>164</v>
      </c>
      <c r="B147" s="1">
        <v>4.0</v>
      </c>
      <c r="C147" s="1">
        <v>17134.87305</v>
      </c>
      <c r="D147" s="1">
        <v>92.23600006</v>
      </c>
      <c r="E147" s="1">
        <v>99.99999929</v>
      </c>
      <c r="F147" s="1">
        <v>0.0</v>
      </c>
      <c r="G147" s="1">
        <v>7.12408621E-7</v>
      </c>
      <c r="H147" s="1">
        <v>0.0</v>
      </c>
      <c r="I147" s="1">
        <v>100.0</v>
      </c>
      <c r="J147" s="1">
        <v>0.0</v>
      </c>
      <c r="K147" s="1">
        <v>0.0</v>
      </c>
      <c r="L147" s="1">
        <v>0.0</v>
      </c>
      <c r="M147" s="1">
        <v>100.0</v>
      </c>
      <c r="N147" s="1">
        <v>0.0</v>
      </c>
      <c r="O147" s="1">
        <v>0.0</v>
      </c>
      <c r="P147" s="1">
        <v>0.0</v>
      </c>
      <c r="Q147" s="2">
        <f t="shared" si="1"/>
        <v>16</v>
      </c>
      <c r="R147" s="2">
        <f t="shared" si="2"/>
        <v>15</v>
      </c>
    </row>
    <row r="148">
      <c r="A148" s="1" t="s">
        <v>165</v>
      </c>
      <c r="B148" s="1">
        <v>1.0</v>
      </c>
      <c r="C148" s="1">
        <v>17500.65625</v>
      </c>
      <c r="D148" s="1">
        <v>55.47500229</v>
      </c>
      <c r="E148" s="1">
        <v>93.92585718</v>
      </c>
      <c r="F148" s="1">
        <v>5.873730768</v>
      </c>
      <c r="G148" s="1">
        <v>0.2004120542</v>
      </c>
      <c r="H148" s="1">
        <v>0.0</v>
      </c>
      <c r="I148" s="1">
        <v>92.082745</v>
      </c>
      <c r="J148" s="1">
        <v>7.917255</v>
      </c>
      <c r="K148" s="1">
        <v>0.0</v>
      </c>
      <c r="L148" s="1">
        <v>0.0</v>
      </c>
      <c r="M148" s="1">
        <v>95.40516436</v>
      </c>
      <c r="N148" s="1">
        <v>4.233570117</v>
      </c>
      <c r="O148" s="1">
        <v>0.361265525</v>
      </c>
      <c r="P148" s="1">
        <v>0.0</v>
      </c>
      <c r="Q148" s="2">
        <f t="shared" si="1"/>
        <v>16</v>
      </c>
      <c r="R148" s="2">
        <f t="shared" si="2"/>
        <v>15</v>
      </c>
    </row>
    <row r="149">
      <c r="A149" s="1" t="s">
        <v>166</v>
      </c>
      <c r="B149" s="1">
        <v>3.0</v>
      </c>
      <c r="C149" s="1">
        <v>17643.06055</v>
      </c>
      <c r="D149" s="1">
        <v>64.16600037</v>
      </c>
      <c r="E149" s="1">
        <v>95.35976356</v>
      </c>
      <c r="F149" s="1">
        <v>0.003451463449</v>
      </c>
      <c r="G149" s="1">
        <v>2.604485389</v>
      </c>
      <c r="H149" s="1">
        <v>2.032299589</v>
      </c>
      <c r="I149" s="1">
        <v>87.05074495</v>
      </c>
      <c r="J149" s="1">
        <v>0.009631811022</v>
      </c>
      <c r="K149" s="1">
        <v>7.26819549</v>
      </c>
      <c r="L149" s="1">
        <v>5.671427747</v>
      </c>
      <c r="M149" s="1">
        <v>100.0</v>
      </c>
      <c r="N149" s="1">
        <v>0.0</v>
      </c>
      <c r="O149" s="1">
        <v>0.0</v>
      </c>
      <c r="P149" s="1">
        <v>0.0</v>
      </c>
      <c r="Q149" s="2">
        <f t="shared" si="1"/>
        <v>16</v>
      </c>
      <c r="R149" s="2">
        <f t="shared" si="2"/>
        <v>15</v>
      </c>
    </row>
    <row r="150">
      <c r="A150" s="1" t="s">
        <v>167</v>
      </c>
      <c r="B150" s="1">
        <v>3.0</v>
      </c>
      <c r="C150" s="1">
        <v>17915.56641</v>
      </c>
      <c r="D150" s="1">
        <v>51.83599854</v>
      </c>
      <c r="E150" s="1">
        <v>94.00642827</v>
      </c>
      <c r="F150" s="1">
        <v>1.034150511</v>
      </c>
      <c r="G150" s="1">
        <v>3.215911815</v>
      </c>
      <c r="H150" s="1">
        <v>1.743509404</v>
      </c>
      <c r="I150" s="1">
        <v>90.1193298</v>
      </c>
      <c r="J150" s="1">
        <v>1.849169999</v>
      </c>
      <c r="K150" s="1">
        <v>4.583438691</v>
      </c>
      <c r="L150" s="1">
        <v>3.448061508</v>
      </c>
      <c r="M150" s="1">
        <v>97.61816944</v>
      </c>
      <c r="N150" s="1">
        <v>0.2768660057</v>
      </c>
      <c r="O150" s="1">
        <v>1.94525887</v>
      </c>
      <c r="P150" s="1">
        <v>0.1597056849</v>
      </c>
      <c r="Q150" s="2">
        <f t="shared" si="1"/>
        <v>16</v>
      </c>
      <c r="R150" s="2">
        <f t="shared" si="2"/>
        <v>15</v>
      </c>
    </row>
    <row r="151">
      <c r="A151" s="1" t="s">
        <v>168</v>
      </c>
      <c r="B151" s="1">
        <v>1.0</v>
      </c>
      <c r="C151" s="1">
        <v>18383.95508</v>
      </c>
      <c r="D151" s="1">
        <v>44.6289978</v>
      </c>
      <c r="E151" s="1">
        <v>65.41238357</v>
      </c>
      <c r="F151" s="1">
        <v>6.15393902</v>
      </c>
      <c r="G151" s="1">
        <v>21.57684071</v>
      </c>
      <c r="H151" s="1">
        <v>6.856836706</v>
      </c>
      <c r="I151" s="1">
        <v>48.22728833</v>
      </c>
      <c r="J151" s="1">
        <v>8.331703613</v>
      </c>
      <c r="K151" s="1">
        <v>31.60865444</v>
      </c>
      <c r="L151" s="1">
        <v>11.83235362</v>
      </c>
      <c r="M151" s="1">
        <v>86.73385466</v>
      </c>
      <c r="N151" s="1">
        <v>3.451996194</v>
      </c>
      <c r="O151" s="1">
        <v>9.130414105</v>
      </c>
      <c r="P151" s="1">
        <v>0.6837350463</v>
      </c>
      <c r="Q151" s="2">
        <f t="shared" si="1"/>
        <v>16</v>
      </c>
      <c r="R151" s="2">
        <f t="shared" si="2"/>
        <v>15</v>
      </c>
    </row>
    <row r="152">
      <c r="A152" s="1" t="s">
        <v>169</v>
      </c>
      <c r="B152" s="1">
        <v>3.0</v>
      </c>
      <c r="C152" s="1">
        <v>18776.70703</v>
      </c>
      <c r="D152" s="1">
        <v>57.67100143</v>
      </c>
      <c r="E152" s="1">
        <v>95.43497032</v>
      </c>
      <c r="F152" s="1">
        <v>1.941425039</v>
      </c>
      <c r="G152" s="1">
        <v>2.545956934</v>
      </c>
      <c r="H152" s="1">
        <v>0.07764770471</v>
      </c>
      <c r="I152" s="1">
        <v>91.93925234</v>
      </c>
      <c r="J152" s="1">
        <v>1.862616064</v>
      </c>
      <c r="K152" s="1">
        <v>6.014693049</v>
      </c>
      <c r="L152" s="1">
        <v>0.1834385438</v>
      </c>
      <c r="M152" s="1">
        <v>98.00073133</v>
      </c>
      <c r="N152" s="1">
        <v>1.999268673</v>
      </c>
      <c r="O152" s="1">
        <v>0.0</v>
      </c>
      <c r="P152" s="1">
        <v>0.0</v>
      </c>
      <c r="Q152" s="2">
        <f t="shared" si="1"/>
        <v>16</v>
      </c>
      <c r="R152" s="2">
        <f t="shared" si="2"/>
        <v>15</v>
      </c>
    </row>
    <row r="153">
      <c r="A153" s="1" t="s">
        <v>170</v>
      </c>
      <c r="B153" s="1">
        <v>4.0</v>
      </c>
      <c r="C153" s="1">
        <v>19116.20898</v>
      </c>
      <c r="D153" s="1">
        <v>87.72699738</v>
      </c>
      <c r="E153" s="1">
        <v>99.99999872</v>
      </c>
      <c r="F153" s="1">
        <v>0.0</v>
      </c>
      <c r="G153" s="1">
        <v>1.277139333E-6</v>
      </c>
      <c r="H153" s="1">
        <v>0.0</v>
      </c>
      <c r="I153" s="1">
        <v>100.0</v>
      </c>
      <c r="J153" s="1">
        <v>0.0</v>
      </c>
      <c r="K153" s="1">
        <v>0.0</v>
      </c>
      <c r="L153" s="1">
        <v>0.0</v>
      </c>
      <c r="M153" s="1">
        <v>100.0</v>
      </c>
      <c r="N153" s="1">
        <v>0.0</v>
      </c>
      <c r="O153" s="1">
        <v>0.0</v>
      </c>
      <c r="P153" s="1">
        <v>0.0</v>
      </c>
      <c r="Q153" s="2">
        <f t="shared" si="1"/>
        <v>16</v>
      </c>
      <c r="R153" s="2">
        <f t="shared" si="2"/>
        <v>15</v>
      </c>
    </row>
    <row r="154">
      <c r="A154" s="1" t="s">
        <v>171</v>
      </c>
      <c r="B154" s="1">
        <v>1.0</v>
      </c>
      <c r="C154" s="1">
        <v>19129.95508</v>
      </c>
      <c r="D154" s="1">
        <v>17.42700005</v>
      </c>
      <c r="E154" s="1">
        <v>70.04772851</v>
      </c>
      <c r="F154" s="1">
        <v>21.95081497</v>
      </c>
      <c r="G154" s="1">
        <v>5.776304407</v>
      </c>
      <c r="H154" s="1">
        <v>2.22515211</v>
      </c>
      <c r="I154" s="1">
        <v>66.58504376</v>
      </c>
      <c r="J154" s="1">
        <v>24.41415803</v>
      </c>
      <c r="K154" s="1">
        <v>6.383874146</v>
      </c>
      <c r="L154" s="1">
        <v>2.616924066</v>
      </c>
      <c r="M154" s="1">
        <v>86.45469821</v>
      </c>
      <c r="N154" s="1">
        <v>10.27894825</v>
      </c>
      <c r="O154" s="1">
        <v>2.897503996</v>
      </c>
      <c r="P154" s="1">
        <v>0.3688495446</v>
      </c>
      <c r="Q154" s="2">
        <f t="shared" si="1"/>
        <v>16</v>
      </c>
      <c r="R154" s="2">
        <f t="shared" si="2"/>
        <v>15</v>
      </c>
    </row>
    <row r="155">
      <c r="A155" s="1" t="s">
        <v>172</v>
      </c>
      <c r="B155" s="1">
        <v>4.0</v>
      </c>
      <c r="C155" s="1">
        <v>19237.68164</v>
      </c>
      <c r="D155" s="1">
        <v>54.19400024</v>
      </c>
      <c r="E155" s="1">
        <v>100.0</v>
      </c>
      <c r="F155" s="1">
        <v>0.0</v>
      </c>
      <c r="G155" s="1">
        <v>0.0</v>
      </c>
      <c r="H155" s="1">
        <v>0.0</v>
      </c>
      <c r="I155" s="1">
        <v>100.0</v>
      </c>
      <c r="J155" s="1">
        <v>0.0</v>
      </c>
      <c r="K155" s="1">
        <v>0.0</v>
      </c>
      <c r="L155" s="1">
        <v>0.0</v>
      </c>
      <c r="M155" s="1">
        <v>100.0</v>
      </c>
      <c r="N155" s="1">
        <v>0.0</v>
      </c>
      <c r="O155" s="1">
        <v>0.0</v>
      </c>
      <c r="P155" s="1">
        <v>0.0</v>
      </c>
      <c r="Q155" s="2">
        <f t="shared" si="1"/>
        <v>16</v>
      </c>
      <c r="R155" s="2">
        <f t="shared" si="2"/>
        <v>15</v>
      </c>
    </row>
    <row r="156">
      <c r="A156" s="1" t="s">
        <v>173</v>
      </c>
      <c r="B156" s="1">
        <v>1.0</v>
      </c>
      <c r="C156" s="1">
        <v>20250.83398</v>
      </c>
      <c r="D156" s="1">
        <v>43.90900421</v>
      </c>
      <c r="E156" s="1">
        <v>82.54729103</v>
      </c>
      <c r="F156" s="1">
        <v>3.854734527</v>
      </c>
      <c r="G156" s="1">
        <v>12.24697135</v>
      </c>
      <c r="H156" s="1">
        <v>1.35100309</v>
      </c>
      <c r="I156" s="1">
        <v>72.08089521</v>
      </c>
      <c r="J156" s="1">
        <v>3.78241223</v>
      </c>
      <c r="K156" s="1">
        <v>21.72810084</v>
      </c>
      <c r="L156" s="1">
        <v>2.408591717</v>
      </c>
      <c r="M156" s="1">
        <v>95.91745475</v>
      </c>
      <c r="N156" s="1">
        <v>3.947121723</v>
      </c>
      <c r="O156" s="1">
        <v>0.1354235314</v>
      </c>
      <c r="P156" s="1">
        <v>0.0</v>
      </c>
      <c r="Q156" s="2">
        <f t="shared" si="1"/>
        <v>16</v>
      </c>
      <c r="R156" s="2">
        <f t="shared" si="2"/>
        <v>15</v>
      </c>
    </row>
    <row r="157">
      <c r="A157" s="1" t="s">
        <v>174</v>
      </c>
      <c r="B157" s="1">
        <v>1.0</v>
      </c>
      <c r="C157" s="1">
        <v>20903.27734</v>
      </c>
      <c r="D157" s="1">
        <v>30.60700035</v>
      </c>
      <c r="E157" s="1">
        <v>47.21485446</v>
      </c>
      <c r="F157" s="1">
        <v>31.2730034</v>
      </c>
      <c r="G157" s="1">
        <v>21.15863263</v>
      </c>
      <c r="H157" s="1">
        <v>0.3535095024</v>
      </c>
      <c r="I157" s="1">
        <v>32.7182589</v>
      </c>
      <c r="J157" s="1">
        <v>38.62690254</v>
      </c>
      <c r="K157" s="1">
        <v>28.3404457</v>
      </c>
      <c r="L157" s="1">
        <v>0.3143928626</v>
      </c>
      <c r="M157" s="1">
        <v>80.08191854</v>
      </c>
      <c r="N157" s="1">
        <v>14.60004919</v>
      </c>
      <c r="O157" s="1">
        <v>4.875836487</v>
      </c>
      <c r="P157" s="1">
        <v>0.4421957805</v>
      </c>
      <c r="Q157" s="2">
        <f t="shared" si="1"/>
        <v>16</v>
      </c>
      <c r="R157" s="2">
        <f t="shared" si="2"/>
        <v>15</v>
      </c>
    </row>
    <row r="158">
      <c r="A158" s="1" t="s">
        <v>175</v>
      </c>
      <c r="B158" s="1">
        <v>2.0</v>
      </c>
      <c r="C158" s="1">
        <v>21413.25</v>
      </c>
      <c r="D158" s="1">
        <v>18.71299934</v>
      </c>
      <c r="E158" s="1">
        <v>92.22757937</v>
      </c>
      <c r="F158" s="1">
        <v>0.5954581495</v>
      </c>
      <c r="G158" s="1">
        <v>5.348927064</v>
      </c>
      <c r="H158" s="1">
        <v>1.82803542</v>
      </c>
      <c r="I158" s="1">
        <v>90.5374357</v>
      </c>
      <c r="J158" s="1">
        <v>0.7032099038</v>
      </c>
      <c r="K158" s="1">
        <v>6.510488612</v>
      </c>
      <c r="L158" s="1">
        <v>2.248865782</v>
      </c>
      <c r="M158" s="1">
        <v>99.56938019</v>
      </c>
      <c r="N158" s="1">
        <v>0.1273977901</v>
      </c>
      <c r="O158" s="1">
        <v>0.3032220202</v>
      </c>
      <c r="P158" s="1">
        <v>0.0</v>
      </c>
      <c r="Q158" s="2">
        <f t="shared" si="1"/>
        <v>16</v>
      </c>
      <c r="R158" s="2">
        <f t="shared" si="2"/>
        <v>15</v>
      </c>
    </row>
    <row r="159">
      <c r="A159" s="1" t="s">
        <v>176</v>
      </c>
      <c r="B159" s="1">
        <v>1.0</v>
      </c>
      <c r="C159" s="1">
        <v>24206.63672</v>
      </c>
      <c r="D159" s="1">
        <v>16.62599945</v>
      </c>
      <c r="E159" s="1">
        <v>46.91179747</v>
      </c>
      <c r="F159" s="1">
        <v>21.6538987</v>
      </c>
      <c r="G159" s="1">
        <v>27.02751244</v>
      </c>
      <c r="H159" s="1">
        <v>4.406791392</v>
      </c>
      <c r="I159" s="1">
        <v>39.15415932</v>
      </c>
      <c r="J159" s="1">
        <v>23.98774039</v>
      </c>
      <c r="K159" s="1">
        <v>31.99150648</v>
      </c>
      <c r="L159" s="1">
        <v>4.866593813</v>
      </c>
      <c r="M159" s="1">
        <v>85.81383976</v>
      </c>
      <c r="N159" s="1">
        <v>9.950440829</v>
      </c>
      <c r="O159" s="1">
        <v>2.13468778</v>
      </c>
      <c r="P159" s="1">
        <v>2.101031634</v>
      </c>
      <c r="Q159" s="2">
        <f t="shared" si="1"/>
        <v>16</v>
      </c>
      <c r="R159" s="2">
        <f t="shared" si="2"/>
        <v>15</v>
      </c>
    </row>
    <row r="160">
      <c r="A160" s="1" t="s">
        <v>177</v>
      </c>
      <c r="B160" s="1">
        <v>4.0</v>
      </c>
      <c r="C160" s="1">
        <v>25499.88086</v>
      </c>
      <c r="D160" s="1">
        <v>86.24099731</v>
      </c>
      <c r="E160" s="1">
        <v>99.96981182</v>
      </c>
      <c r="F160" s="1">
        <v>0.0</v>
      </c>
      <c r="G160" s="1">
        <v>0.03018817873</v>
      </c>
      <c r="H160" s="1">
        <v>0.0</v>
      </c>
      <c r="I160" s="1">
        <v>100.0</v>
      </c>
      <c r="J160" s="1">
        <v>0.0</v>
      </c>
      <c r="K160" s="1">
        <v>0.0</v>
      </c>
      <c r="L160" s="1">
        <v>0.0</v>
      </c>
      <c r="M160" s="1">
        <v>99.965</v>
      </c>
      <c r="N160" s="1">
        <v>0.0</v>
      </c>
      <c r="O160" s="1">
        <v>0.035</v>
      </c>
      <c r="P160" s="1">
        <v>0.0</v>
      </c>
      <c r="Q160" s="2">
        <f t="shared" si="1"/>
        <v>16</v>
      </c>
      <c r="R160" s="2">
        <f t="shared" si="2"/>
        <v>15</v>
      </c>
    </row>
    <row r="161">
      <c r="A161" s="1" t="s">
        <v>178</v>
      </c>
      <c r="B161" s="1">
        <v>1.0</v>
      </c>
      <c r="C161" s="1">
        <v>25778.81445</v>
      </c>
      <c r="D161" s="1">
        <v>62.38100052</v>
      </c>
      <c r="E161" s="1">
        <v>93.84384303</v>
      </c>
      <c r="F161" s="1">
        <v>0.6831311872</v>
      </c>
      <c r="G161" s="1">
        <v>5.20969278</v>
      </c>
      <c r="H161" s="1">
        <v>0.2633330058</v>
      </c>
      <c r="I161" s="1">
        <v>88.75362488</v>
      </c>
      <c r="J161" s="1">
        <v>0.3564402606</v>
      </c>
      <c r="K161" s="1">
        <v>10.18993486</v>
      </c>
      <c r="L161" s="1">
        <v>0.7</v>
      </c>
      <c r="M161" s="1">
        <v>96.91351044</v>
      </c>
      <c r="N161" s="1">
        <v>0.8801428799</v>
      </c>
      <c r="O161" s="1">
        <v>2.206346677</v>
      </c>
      <c r="P161" s="1">
        <v>0.0</v>
      </c>
      <c r="Q161" s="2">
        <f t="shared" si="1"/>
        <v>16</v>
      </c>
      <c r="R161" s="2">
        <f t="shared" si="2"/>
        <v>15</v>
      </c>
    </row>
    <row r="162">
      <c r="A162" s="1" t="s">
        <v>179</v>
      </c>
      <c r="B162" s="1">
        <v>2.0</v>
      </c>
      <c r="C162" s="1">
        <v>26378.27539</v>
      </c>
      <c r="D162" s="1">
        <v>51.70599747</v>
      </c>
      <c r="E162" s="1">
        <v>70.90907039</v>
      </c>
      <c r="F162" s="1">
        <v>8.935421702</v>
      </c>
      <c r="G162" s="1">
        <v>14.19244161</v>
      </c>
      <c r="H162" s="1">
        <v>5.963066293</v>
      </c>
      <c r="I162" s="1">
        <v>55.72244686</v>
      </c>
      <c r="J162" s="1">
        <v>13.34316829</v>
      </c>
      <c r="K162" s="1">
        <v>23.17527956</v>
      </c>
      <c r="L162" s="1">
        <v>7.759105289</v>
      </c>
      <c r="M162" s="1">
        <v>85.09355329</v>
      </c>
      <c r="N162" s="1">
        <v>4.818535156</v>
      </c>
      <c r="O162" s="1">
        <v>5.80236656</v>
      </c>
      <c r="P162" s="1">
        <v>4.285544994</v>
      </c>
      <c r="Q162" s="2">
        <f t="shared" si="1"/>
        <v>16</v>
      </c>
      <c r="R162" s="2">
        <f t="shared" si="2"/>
        <v>15</v>
      </c>
    </row>
    <row r="163">
      <c r="A163" s="1" t="s">
        <v>180</v>
      </c>
      <c r="B163" s="1">
        <v>2.0</v>
      </c>
      <c r="C163" s="1">
        <v>26545.86328</v>
      </c>
      <c r="D163" s="1">
        <v>57.56000519</v>
      </c>
      <c r="E163" s="1">
        <v>65.72041818</v>
      </c>
      <c r="F163" s="1">
        <v>12.87474863</v>
      </c>
      <c r="G163" s="1">
        <v>15.00100626</v>
      </c>
      <c r="H163" s="1">
        <v>6.403826927</v>
      </c>
      <c r="I163" s="1">
        <v>43.52758112</v>
      </c>
      <c r="J163" s="1">
        <v>12.67259943</v>
      </c>
      <c r="K163" s="1">
        <v>30.12380645</v>
      </c>
      <c r="L163" s="1">
        <v>13.676013</v>
      </c>
      <c r="M163" s="1">
        <v>82.08358486</v>
      </c>
      <c r="N163" s="1">
        <v>13.02379677</v>
      </c>
      <c r="O163" s="1">
        <v>3.850701351</v>
      </c>
      <c r="P163" s="1">
        <v>1.041917019</v>
      </c>
      <c r="Q163" s="2">
        <f t="shared" si="1"/>
        <v>16</v>
      </c>
      <c r="R163" s="2">
        <f t="shared" si="2"/>
        <v>15</v>
      </c>
    </row>
    <row r="164">
      <c r="A164" s="1" t="s">
        <v>181</v>
      </c>
      <c r="B164" s="1">
        <v>1.0</v>
      </c>
      <c r="C164" s="1">
        <v>27691.01953</v>
      </c>
      <c r="D164" s="1">
        <v>38.5340004</v>
      </c>
      <c r="E164" s="1">
        <v>53.38588491</v>
      </c>
      <c r="F164" s="1">
        <v>2.71797298</v>
      </c>
      <c r="G164" s="1">
        <v>32.31145967</v>
      </c>
      <c r="H164" s="1">
        <v>11.58468244</v>
      </c>
      <c r="I164" s="1">
        <v>36.40642028</v>
      </c>
      <c r="J164" s="1">
        <v>1.601776163</v>
      </c>
      <c r="K164" s="1">
        <v>43.95389345</v>
      </c>
      <c r="L164" s="1">
        <v>18.03791011</v>
      </c>
      <c r="M164" s="1">
        <v>80.47000694</v>
      </c>
      <c r="N164" s="1">
        <v>4.498430298</v>
      </c>
      <c r="O164" s="1">
        <v>13.74049434</v>
      </c>
      <c r="P164" s="1">
        <v>1.291068417</v>
      </c>
      <c r="Q164" s="2">
        <f t="shared" si="1"/>
        <v>16</v>
      </c>
      <c r="R164" s="2">
        <f t="shared" si="2"/>
        <v>15</v>
      </c>
    </row>
    <row r="165">
      <c r="A165" s="1" t="s">
        <v>182</v>
      </c>
      <c r="B165" s="1" t="s">
        <v>19</v>
      </c>
      <c r="C165" s="1">
        <v>28435.94336</v>
      </c>
      <c r="D165" s="1">
        <v>88.27899933</v>
      </c>
      <c r="E165" s="1">
        <v>93.68580071</v>
      </c>
      <c r="F165" s="1">
        <v>0.4707829181</v>
      </c>
      <c r="G165" s="1">
        <v>5.843416373</v>
      </c>
      <c r="H165" s="1" t="s">
        <v>19</v>
      </c>
      <c r="I165" s="1" t="s">
        <v>19</v>
      </c>
      <c r="J165" s="1" t="s">
        <v>19</v>
      </c>
      <c r="K165" s="1" t="s">
        <v>19</v>
      </c>
      <c r="L165" s="1" t="s">
        <v>19</v>
      </c>
      <c r="M165" s="1" t="s">
        <v>19</v>
      </c>
      <c r="N165" s="1" t="s">
        <v>19</v>
      </c>
      <c r="O165" s="1" t="s">
        <v>19</v>
      </c>
      <c r="P165" s="1" t="s">
        <v>19</v>
      </c>
      <c r="Q165" s="2">
        <f t="shared" si="1"/>
        <v>16</v>
      </c>
      <c r="R165" s="2">
        <f t="shared" si="2"/>
        <v>5</v>
      </c>
    </row>
    <row r="166">
      <c r="A166" s="1" t="s">
        <v>183</v>
      </c>
      <c r="B166" s="1">
        <v>2.0</v>
      </c>
      <c r="C166" s="1">
        <v>29136.80859</v>
      </c>
      <c r="D166" s="1">
        <v>20.57600021</v>
      </c>
      <c r="E166" s="1">
        <v>90.07454179</v>
      </c>
      <c r="F166" s="1">
        <v>3.979825725</v>
      </c>
      <c r="G166" s="1">
        <v>4.699081176</v>
      </c>
      <c r="H166" s="1">
        <v>1.246551314</v>
      </c>
      <c r="I166" s="1">
        <v>90.20327165</v>
      </c>
      <c r="J166" s="1">
        <v>4.207348246</v>
      </c>
      <c r="K166" s="1">
        <v>4.269023951</v>
      </c>
      <c r="L166" s="1">
        <v>1.320356149</v>
      </c>
      <c r="M166" s="1">
        <v>89.57763316</v>
      </c>
      <c r="N166" s="1">
        <v>3.101581411</v>
      </c>
      <c r="O166" s="1">
        <v>6.359123168</v>
      </c>
      <c r="P166" s="1">
        <v>0.9616622585</v>
      </c>
      <c r="Q166" s="2">
        <f t="shared" si="1"/>
        <v>16</v>
      </c>
      <c r="R166" s="2">
        <f t="shared" si="2"/>
        <v>15</v>
      </c>
    </row>
    <row r="167">
      <c r="A167" s="1" t="s">
        <v>184</v>
      </c>
      <c r="B167" s="1">
        <v>1.0</v>
      </c>
      <c r="C167" s="1">
        <v>29825.96875</v>
      </c>
      <c r="D167" s="1">
        <v>37.90799713</v>
      </c>
      <c r="E167" s="1">
        <v>60.66356984</v>
      </c>
      <c r="F167" s="1">
        <v>28.9627418</v>
      </c>
      <c r="G167" s="1">
        <v>7.77785276</v>
      </c>
      <c r="H167" s="1">
        <v>2.595835594</v>
      </c>
      <c r="I167" s="1">
        <v>50.68133437</v>
      </c>
      <c r="J167" s="1">
        <v>33.53021373</v>
      </c>
      <c r="K167" s="1">
        <v>11.60782393</v>
      </c>
      <c r="L167" s="1">
        <v>4.180627978</v>
      </c>
      <c r="M167" s="1">
        <v>77.01412934</v>
      </c>
      <c r="N167" s="1">
        <v>21.48137937</v>
      </c>
      <c r="O167" s="1">
        <v>1.504491286</v>
      </c>
      <c r="P167" s="1">
        <v>0.0</v>
      </c>
      <c r="Q167" s="2">
        <f t="shared" si="1"/>
        <v>16</v>
      </c>
      <c r="R167" s="2">
        <f t="shared" si="2"/>
        <v>15</v>
      </c>
    </row>
    <row r="168">
      <c r="A168" s="1" t="s">
        <v>185</v>
      </c>
      <c r="B168" s="1">
        <v>2.0</v>
      </c>
      <c r="C168" s="1">
        <v>31072.94531</v>
      </c>
      <c r="D168" s="1">
        <v>57.34899902</v>
      </c>
      <c r="E168" s="1">
        <v>85.79099665</v>
      </c>
      <c r="F168" s="1">
        <v>6.586062113</v>
      </c>
      <c r="G168" s="1">
        <v>2.812216176</v>
      </c>
      <c r="H168" s="1">
        <v>4.810725058</v>
      </c>
      <c r="I168" s="1">
        <v>71.89275005</v>
      </c>
      <c r="J168" s="1">
        <v>11.93454827</v>
      </c>
      <c r="K168" s="1">
        <v>4.999356483</v>
      </c>
      <c r="L168" s="1">
        <v>11.17334519</v>
      </c>
      <c r="M168" s="1">
        <v>96.12725952</v>
      </c>
      <c r="N168" s="1">
        <v>2.608342455</v>
      </c>
      <c r="O168" s="1">
        <v>1.185613803</v>
      </c>
      <c r="P168" s="1">
        <v>0.07878421819</v>
      </c>
      <c r="Q168" s="2">
        <f t="shared" si="1"/>
        <v>16</v>
      </c>
      <c r="R168" s="2">
        <f t="shared" si="2"/>
        <v>15</v>
      </c>
    </row>
    <row r="169">
      <c r="A169" s="1" t="s">
        <v>186</v>
      </c>
      <c r="B169" s="1">
        <v>1.0</v>
      </c>
      <c r="C169" s="1">
        <v>31255.43555</v>
      </c>
      <c r="D169" s="1">
        <v>37.0739975</v>
      </c>
      <c r="E169" s="1">
        <v>63.36942563</v>
      </c>
      <c r="F169" s="1">
        <v>9.975784507</v>
      </c>
      <c r="G169" s="1">
        <v>16.72614511</v>
      </c>
      <c r="H169" s="1">
        <v>9.928644759</v>
      </c>
      <c r="I169" s="1">
        <v>48.8666865</v>
      </c>
      <c r="J169" s="1">
        <v>12.64088359</v>
      </c>
      <c r="K169" s="1">
        <v>23.6862564</v>
      </c>
      <c r="L169" s="1">
        <v>14.80617352</v>
      </c>
      <c r="M169" s="1">
        <v>87.98504792</v>
      </c>
      <c r="N169" s="1">
        <v>5.452291027</v>
      </c>
      <c r="O169" s="1">
        <v>4.912684644</v>
      </c>
      <c r="P169" s="1">
        <v>1.649976404</v>
      </c>
      <c r="Q169" s="2">
        <f t="shared" si="1"/>
        <v>16</v>
      </c>
      <c r="R169" s="2">
        <f t="shared" si="2"/>
        <v>15</v>
      </c>
    </row>
    <row r="170">
      <c r="A170" s="1" t="s">
        <v>187</v>
      </c>
      <c r="B170" s="1">
        <v>3.0</v>
      </c>
      <c r="C170" s="1">
        <v>32365.99805</v>
      </c>
      <c r="D170" s="1">
        <v>77.15999603</v>
      </c>
      <c r="E170" s="1">
        <v>97.09990707</v>
      </c>
      <c r="F170" s="1">
        <v>0.3545396865</v>
      </c>
      <c r="G170" s="1">
        <v>2.545553241</v>
      </c>
      <c r="H170" s="1" t="s">
        <v>19</v>
      </c>
      <c r="I170" s="1">
        <v>90.19744812</v>
      </c>
      <c r="J170" s="1">
        <v>0.5444513971</v>
      </c>
      <c r="K170" s="1">
        <v>9.258100478</v>
      </c>
      <c r="L170" s="1" t="s">
        <v>19</v>
      </c>
      <c r="M170" s="1">
        <v>99.14309591</v>
      </c>
      <c r="N170" s="1">
        <v>0.2983242605</v>
      </c>
      <c r="O170" s="1">
        <v>0.4685798319</v>
      </c>
      <c r="P170" s="1">
        <v>0.09</v>
      </c>
      <c r="Q170" s="2">
        <f t="shared" si="1"/>
        <v>16</v>
      </c>
      <c r="R170" s="2">
        <f t="shared" si="2"/>
        <v>13</v>
      </c>
    </row>
    <row r="171">
      <c r="A171" s="1" t="s">
        <v>188</v>
      </c>
      <c r="B171" s="1">
        <v>2.0</v>
      </c>
      <c r="C171" s="1">
        <v>32866.26953</v>
      </c>
      <c r="D171" s="1">
        <v>66.82499695</v>
      </c>
      <c r="E171" s="1">
        <v>57.16773762</v>
      </c>
      <c r="F171" s="1">
        <v>9.287349919</v>
      </c>
      <c r="G171" s="1">
        <v>19.45082534</v>
      </c>
      <c r="H171" s="1">
        <v>14.09408712</v>
      </c>
      <c r="I171" s="1">
        <v>27.80822661</v>
      </c>
      <c r="J171" s="1">
        <v>8.740488389</v>
      </c>
      <c r="K171" s="1">
        <v>22.93315258</v>
      </c>
      <c r="L171" s="1">
        <v>40.51813242</v>
      </c>
      <c r="M171" s="1">
        <v>71.74314862</v>
      </c>
      <c r="N171" s="1">
        <v>9.558837489</v>
      </c>
      <c r="O171" s="1">
        <v>17.72203473</v>
      </c>
      <c r="P171" s="1">
        <v>0.9759791629</v>
      </c>
      <c r="Q171" s="2">
        <f t="shared" si="1"/>
        <v>16</v>
      </c>
      <c r="R171" s="2">
        <f t="shared" si="2"/>
        <v>15</v>
      </c>
    </row>
    <row r="172">
      <c r="A172" s="1" t="s">
        <v>189</v>
      </c>
      <c r="B172" s="1">
        <v>3.0</v>
      </c>
      <c r="C172" s="1">
        <v>32971.84766</v>
      </c>
      <c r="D172" s="1">
        <v>78.2970047</v>
      </c>
      <c r="E172" s="1">
        <v>93.13936621</v>
      </c>
      <c r="F172" s="1">
        <v>0.8495593511</v>
      </c>
      <c r="G172" s="1">
        <v>4.150468349</v>
      </c>
      <c r="H172" s="1">
        <v>1.860606087</v>
      </c>
      <c r="I172" s="1">
        <v>80.79943849</v>
      </c>
      <c r="J172" s="1">
        <v>1.596943771</v>
      </c>
      <c r="K172" s="1">
        <v>9.612691163</v>
      </c>
      <c r="L172" s="1">
        <v>7.990926578</v>
      </c>
      <c r="M172" s="1">
        <v>96.55984408</v>
      </c>
      <c r="N172" s="1">
        <v>0.6423932356</v>
      </c>
      <c r="O172" s="1">
        <v>2.636408693</v>
      </c>
      <c r="P172" s="1">
        <v>0.1613539953</v>
      </c>
      <c r="Q172" s="2">
        <f t="shared" si="1"/>
        <v>16</v>
      </c>
      <c r="R172" s="2">
        <f t="shared" si="2"/>
        <v>15</v>
      </c>
    </row>
    <row r="173">
      <c r="A173" s="1" t="s">
        <v>190</v>
      </c>
      <c r="B173" s="1">
        <v>2.0</v>
      </c>
      <c r="C173" s="1">
        <v>33469.19922</v>
      </c>
      <c r="D173" s="1">
        <v>50.41599655</v>
      </c>
      <c r="E173" s="1">
        <v>97.82878485</v>
      </c>
      <c r="F173" s="1">
        <v>0.0</v>
      </c>
      <c r="G173" s="1">
        <v>0.22384422</v>
      </c>
      <c r="H173" s="1">
        <v>1.947370925</v>
      </c>
      <c r="I173" s="1">
        <v>96.07258236</v>
      </c>
      <c r="J173" s="1">
        <v>0.0</v>
      </c>
      <c r="K173" s="1">
        <v>0.0</v>
      </c>
      <c r="L173" s="1">
        <v>3.927417637</v>
      </c>
      <c r="M173" s="1">
        <v>99.55600556</v>
      </c>
      <c r="N173" s="1">
        <v>0.0</v>
      </c>
      <c r="O173" s="1">
        <v>0.4439944434</v>
      </c>
      <c r="P173" s="1">
        <v>0.0</v>
      </c>
      <c r="Q173" s="2">
        <f t="shared" si="1"/>
        <v>16</v>
      </c>
      <c r="R173" s="2">
        <f t="shared" si="2"/>
        <v>15</v>
      </c>
    </row>
    <row r="174">
      <c r="A174" s="1" t="s">
        <v>191</v>
      </c>
      <c r="B174" s="1">
        <v>4.0</v>
      </c>
      <c r="C174" s="1">
        <v>34813.86719</v>
      </c>
      <c r="D174" s="1">
        <v>84.28700256</v>
      </c>
      <c r="E174" s="1">
        <v>100.0</v>
      </c>
      <c r="F174" s="1">
        <v>0.0</v>
      </c>
      <c r="G174" s="1">
        <v>0.0</v>
      </c>
      <c r="H174" s="1">
        <v>0.0</v>
      </c>
      <c r="I174" s="1" t="s">
        <v>19</v>
      </c>
      <c r="J174" s="1" t="s">
        <v>19</v>
      </c>
      <c r="K174" s="1" t="s">
        <v>19</v>
      </c>
      <c r="L174" s="1" t="s">
        <v>19</v>
      </c>
      <c r="M174" s="1" t="s">
        <v>19</v>
      </c>
      <c r="N174" s="1" t="s">
        <v>19</v>
      </c>
      <c r="O174" s="1" t="s">
        <v>19</v>
      </c>
      <c r="P174" s="1" t="s">
        <v>19</v>
      </c>
      <c r="Q174" s="2">
        <f t="shared" si="1"/>
        <v>16</v>
      </c>
      <c r="R174" s="2">
        <f t="shared" si="2"/>
        <v>7</v>
      </c>
    </row>
    <row r="175">
      <c r="A175" s="1" t="s">
        <v>192</v>
      </c>
      <c r="B175" s="1">
        <v>2.0</v>
      </c>
      <c r="C175" s="1">
        <v>36910.55859</v>
      </c>
      <c r="D175" s="1">
        <v>63.53199768</v>
      </c>
      <c r="E175" s="1">
        <v>90.40234468</v>
      </c>
      <c r="F175" s="1">
        <v>5.263549601</v>
      </c>
      <c r="G175" s="1">
        <v>2.8776725</v>
      </c>
      <c r="H175" s="1">
        <v>1.456433219</v>
      </c>
      <c r="I175" s="1">
        <v>77.34612896</v>
      </c>
      <c r="J175" s="1">
        <v>12.03707816</v>
      </c>
      <c r="K175" s="1">
        <v>6.623063373</v>
      </c>
      <c r="L175" s="1">
        <v>3.993729502</v>
      </c>
      <c r="M175" s="1">
        <v>97.89674601</v>
      </c>
      <c r="N175" s="1">
        <v>1.375477117</v>
      </c>
      <c r="O175" s="1">
        <v>0.7277768759</v>
      </c>
      <c r="P175" s="1">
        <v>0.0</v>
      </c>
      <c r="Q175" s="2">
        <f t="shared" si="1"/>
        <v>16</v>
      </c>
      <c r="R175" s="2">
        <f t="shared" si="2"/>
        <v>15</v>
      </c>
    </row>
    <row r="176">
      <c r="A176" s="1" t="s">
        <v>193</v>
      </c>
      <c r="B176" s="1">
        <v>4.0</v>
      </c>
      <c r="C176" s="1">
        <v>37742.15625</v>
      </c>
      <c r="D176" s="1">
        <v>81.56200409</v>
      </c>
      <c r="E176" s="1">
        <v>99.22181066</v>
      </c>
      <c r="F176" s="1">
        <v>0.0</v>
      </c>
      <c r="G176" s="1">
        <v>0.7781893369</v>
      </c>
      <c r="H176" s="1">
        <v>0.0</v>
      </c>
      <c r="I176" s="1">
        <v>99.0604959</v>
      </c>
      <c r="J176" s="1">
        <v>0.0</v>
      </c>
      <c r="K176" s="1">
        <v>0.9395041006</v>
      </c>
      <c r="L176" s="1">
        <v>0.0</v>
      </c>
      <c r="M176" s="1">
        <v>99.25827766</v>
      </c>
      <c r="N176" s="1">
        <v>0.0</v>
      </c>
      <c r="O176" s="1">
        <v>0.7417223371</v>
      </c>
      <c r="P176" s="1">
        <v>0.0</v>
      </c>
      <c r="Q176" s="2">
        <f t="shared" si="1"/>
        <v>16</v>
      </c>
      <c r="R176" s="2">
        <f t="shared" si="2"/>
        <v>15</v>
      </c>
    </row>
    <row r="177">
      <c r="A177" s="1" t="s">
        <v>194</v>
      </c>
      <c r="B177" s="1">
        <v>4.0</v>
      </c>
      <c r="C177" s="1">
        <v>37846.60547</v>
      </c>
      <c r="D177" s="1">
        <v>60.04300308</v>
      </c>
      <c r="E177" s="1">
        <v>99.96659155</v>
      </c>
      <c r="F177" s="1">
        <v>0.0</v>
      </c>
      <c r="G177" s="1">
        <v>0.03340844529</v>
      </c>
      <c r="H177" s="1">
        <v>0.0</v>
      </c>
      <c r="I177" s="1">
        <v>100.0</v>
      </c>
      <c r="J177" s="1">
        <v>0.0</v>
      </c>
      <c r="K177" s="1">
        <v>0.0</v>
      </c>
      <c r="L177" s="1">
        <v>0.0</v>
      </c>
      <c r="M177" s="1">
        <v>99.94435484</v>
      </c>
      <c r="N177" s="1">
        <v>0.0</v>
      </c>
      <c r="O177" s="1">
        <v>0.05564516129</v>
      </c>
      <c r="P177" s="1">
        <v>0.0</v>
      </c>
      <c r="Q177" s="2">
        <f t="shared" si="1"/>
        <v>16</v>
      </c>
      <c r="R177" s="2">
        <f t="shared" si="2"/>
        <v>15</v>
      </c>
    </row>
    <row r="178">
      <c r="A178" s="1" t="s">
        <v>195</v>
      </c>
      <c r="B178" s="1">
        <v>1.0</v>
      </c>
      <c r="C178" s="1">
        <v>38928.33984</v>
      </c>
      <c r="D178" s="1">
        <v>26.02599907</v>
      </c>
      <c r="E178" s="1">
        <v>75.09141325</v>
      </c>
      <c r="F178" s="1">
        <v>1.447541688</v>
      </c>
      <c r="G178" s="1">
        <v>14.56026288</v>
      </c>
      <c r="H178" s="1">
        <v>8.900782174</v>
      </c>
      <c r="I178" s="1">
        <v>66.32791521</v>
      </c>
      <c r="J178" s="1">
        <v>1.956824851</v>
      </c>
      <c r="K178" s="1">
        <v>19.68294895</v>
      </c>
      <c r="L178" s="1">
        <v>12.03231098</v>
      </c>
      <c r="M178" s="1">
        <v>100.0</v>
      </c>
      <c r="N178" s="1">
        <v>0.0</v>
      </c>
      <c r="O178" s="1">
        <v>0.0</v>
      </c>
      <c r="P178" s="1">
        <v>0.0</v>
      </c>
      <c r="Q178" s="2">
        <f t="shared" si="1"/>
        <v>16</v>
      </c>
      <c r="R178" s="2">
        <f t="shared" si="2"/>
        <v>15</v>
      </c>
    </row>
    <row r="179">
      <c r="A179" s="1" t="s">
        <v>196</v>
      </c>
      <c r="B179" s="1">
        <v>3.0</v>
      </c>
      <c r="C179" s="1">
        <v>40222.50391</v>
      </c>
      <c r="D179" s="1">
        <v>70.89299774</v>
      </c>
      <c r="E179" s="1">
        <v>98.35990325</v>
      </c>
      <c r="F179" s="1">
        <v>0.8921603495</v>
      </c>
      <c r="G179" s="1">
        <v>2.427900808E-6</v>
      </c>
      <c r="H179" s="1">
        <v>0.7479339713</v>
      </c>
      <c r="I179" s="1">
        <v>94.83114678</v>
      </c>
      <c r="J179" s="1">
        <v>2.599251339</v>
      </c>
      <c r="K179" s="1">
        <v>0.0</v>
      </c>
      <c r="L179" s="1">
        <v>2.569601877</v>
      </c>
      <c r="M179" s="1">
        <v>99.80873103</v>
      </c>
      <c r="N179" s="1">
        <v>0.19126897</v>
      </c>
      <c r="O179" s="1">
        <v>0.0</v>
      </c>
      <c r="P179" s="1">
        <v>0.0</v>
      </c>
      <c r="Q179" s="2">
        <f t="shared" si="1"/>
        <v>16</v>
      </c>
      <c r="R179" s="2">
        <f t="shared" si="2"/>
        <v>15</v>
      </c>
    </row>
    <row r="180">
      <c r="A180" s="1" t="s">
        <v>197</v>
      </c>
      <c r="B180" s="1">
        <v>2.0</v>
      </c>
      <c r="C180" s="1">
        <v>43733.75781</v>
      </c>
      <c r="D180" s="1">
        <v>69.60800171</v>
      </c>
      <c r="E180" s="1">
        <v>93.92828195</v>
      </c>
      <c r="F180" s="1">
        <v>5.671978717</v>
      </c>
      <c r="G180" s="1">
        <v>0.07590450129</v>
      </c>
      <c r="H180" s="1">
        <v>0.323834836</v>
      </c>
      <c r="I180" s="1">
        <v>100.0</v>
      </c>
      <c r="J180" s="1">
        <v>0.0</v>
      </c>
      <c r="K180" s="1">
        <v>0.0</v>
      </c>
      <c r="L180" s="1">
        <v>0.0</v>
      </c>
      <c r="M180" s="1">
        <v>91.27727011</v>
      </c>
      <c r="N180" s="1">
        <v>8.14845779</v>
      </c>
      <c r="O180" s="1">
        <v>0.1090456533</v>
      </c>
      <c r="P180" s="1">
        <v>0.4652264446</v>
      </c>
      <c r="Q180" s="2">
        <f t="shared" si="1"/>
        <v>16</v>
      </c>
      <c r="R180" s="2">
        <f t="shared" si="2"/>
        <v>15</v>
      </c>
    </row>
    <row r="181">
      <c r="A181" s="1" t="s">
        <v>198</v>
      </c>
      <c r="B181" s="1">
        <v>1.0</v>
      </c>
      <c r="C181" s="1">
        <v>43849.26953</v>
      </c>
      <c r="D181" s="1">
        <v>35.25299835</v>
      </c>
      <c r="E181" s="1">
        <v>60.4486756</v>
      </c>
      <c r="F181" s="1">
        <v>26.67001975</v>
      </c>
      <c r="G181" s="1">
        <v>3.650217875</v>
      </c>
      <c r="H181" s="1">
        <v>9.231086774</v>
      </c>
      <c r="I181" s="1">
        <v>53.19902707</v>
      </c>
      <c r="J181" s="1">
        <v>27.45764451</v>
      </c>
      <c r="K181" s="1">
        <v>5.637660008</v>
      </c>
      <c r="L181" s="1">
        <v>13.70566842</v>
      </c>
      <c r="M181" s="1">
        <v>73.76365956</v>
      </c>
      <c r="N181" s="1">
        <v>25.22343986</v>
      </c>
      <c r="O181" s="1">
        <v>0.0</v>
      </c>
      <c r="P181" s="1">
        <v>1.012900581</v>
      </c>
      <c r="Q181" s="2">
        <f t="shared" si="1"/>
        <v>16</v>
      </c>
      <c r="R181" s="2">
        <f t="shared" si="2"/>
        <v>15</v>
      </c>
    </row>
    <row r="182">
      <c r="A182" s="1" t="s">
        <v>199</v>
      </c>
      <c r="B182" s="1">
        <v>2.0</v>
      </c>
      <c r="C182" s="1">
        <v>43851.04297</v>
      </c>
      <c r="D182" s="1">
        <v>73.73300171</v>
      </c>
      <c r="E182" s="1">
        <v>94.43732996</v>
      </c>
      <c r="F182" s="1">
        <v>4.985880842</v>
      </c>
      <c r="G182" s="1">
        <v>0.5318366638</v>
      </c>
      <c r="H182" s="1">
        <v>0.04495253272</v>
      </c>
      <c r="I182" s="1">
        <v>90.03753791</v>
      </c>
      <c r="J182" s="1">
        <v>8.79672214</v>
      </c>
      <c r="K182" s="1">
        <v>0.9946030281</v>
      </c>
      <c r="L182" s="1">
        <v>0.1711369258</v>
      </c>
      <c r="M182" s="1">
        <v>96.00473586</v>
      </c>
      <c r="N182" s="1">
        <v>3.628288591</v>
      </c>
      <c r="O182" s="1">
        <v>0.3669755478</v>
      </c>
      <c r="P182" s="1">
        <v>0.0</v>
      </c>
      <c r="Q182" s="2">
        <f t="shared" si="1"/>
        <v>16</v>
      </c>
      <c r="R182" s="2">
        <f t="shared" si="2"/>
        <v>15</v>
      </c>
    </row>
    <row r="183">
      <c r="A183" s="1" t="s">
        <v>200</v>
      </c>
      <c r="B183" s="1">
        <v>3.0</v>
      </c>
      <c r="C183" s="1">
        <v>45195.77734</v>
      </c>
      <c r="D183" s="1">
        <v>92.11100006</v>
      </c>
      <c r="E183" s="1" t="s">
        <v>19</v>
      </c>
      <c r="F183" s="1" t="s">
        <v>19</v>
      </c>
      <c r="G183" s="1" t="s">
        <v>19</v>
      </c>
      <c r="H183" s="1" t="s">
        <v>19</v>
      </c>
      <c r="I183" s="1" t="s">
        <v>19</v>
      </c>
      <c r="J183" s="1" t="s">
        <v>19</v>
      </c>
      <c r="K183" s="1" t="s">
        <v>19</v>
      </c>
      <c r="L183" s="1" t="s">
        <v>19</v>
      </c>
      <c r="M183" s="1">
        <v>99.79042065</v>
      </c>
      <c r="N183" s="1">
        <v>0.0</v>
      </c>
      <c r="O183" s="1">
        <v>0.2095793501</v>
      </c>
      <c r="P183" s="1">
        <v>0.0</v>
      </c>
      <c r="Q183" s="2">
        <f t="shared" si="1"/>
        <v>16</v>
      </c>
      <c r="R183" s="2">
        <f t="shared" si="2"/>
        <v>7</v>
      </c>
    </row>
    <row r="184">
      <c r="A184" s="1" t="s">
        <v>201</v>
      </c>
      <c r="B184" s="1">
        <v>1.0</v>
      </c>
      <c r="C184" s="1">
        <v>45741.0</v>
      </c>
      <c r="D184" s="1">
        <v>24.95400047</v>
      </c>
      <c r="E184" s="1">
        <v>55.85504921</v>
      </c>
      <c r="F184" s="1">
        <v>27.28286</v>
      </c>
      <c r="G184" s="1">
        <v>12.16590654</v>
      </c>
      <c r="H184" s="1">
        <v>4.696184252</v>
      </c>
      <c r="I184" s="1">
        <v>48.23118958</v>
      </c>
      <c r="J184" s="1">
        <v>31.78469426</v>
      </c>
      <c r="K184" s="1">
        <v>14.07616061</v>
      </c>
      <c r="L184" s="1">
        <v>5.907955546</v>
      </c>
      <c r="M184" s="1">
        <v>78.7828518</v>
      </c>
      <c r="N184" s="1">
        <v>13.74416783</v>
      </c>
      <c r="O184" s="1">
        <v>6.421044133</v>
      </c>
      <c r="P184" s="1">
        <v>1.051936238</v>
      </c>
      <c r="Q184" s="2">
        <f t="shared" si="1"/>
        <v>16</v>
      </c>
      <c r="R184" s="2">
        <f t="shared" si="2"/>
        <v>15</v>
      </c>
    </row>
    <row r="185">
      <c r="A185" s="1" t="s">
        <v>202</v>
      </c>
      <c r="B185" s="1">
        <v>4.0</v>
      </c>
      <c r="C185" s="1">
        <v>46754.78125</v>
      </c>
      <c r="D185" s="1">
        <v>80.80999756</v>
      </c>
      <c r="E185" s="1">
        <v>99.92561261</v>
      </c>
      <c r="F185" s="1">
        <v>0.0</v>
      </c>
      <c r="G185" s="1">
        <v>0.07438739142</v>
      </c>
      <c r="H185" s="1">
        <v>0.0</v>
      </c>
      <c r="I185" s="1">
        <v>100.0</v>
      </c>
      <c r="J185" s="1">
        <v>0.0</v>
      </c>
      <c r="K185" s="1">
        <v>0.0</v>
      </c>
      <c r="L185" s="1">
        <v>0.0</v>
      </c>
      <c r="M185" s="1">
        <v>99.90794521</v>
      </c>
      <c r="N185" s="1">
        <v>0.0</v>
      </c>
      <c r="O185" s="1">
        <v>0.09205479452</v>
      </c>
      <c r="P185" s="1">
        <v>0.0</v>
      </c>
      <c r="Q185" s="2">
        <f t="shared" si="1"/>
        <v>16</v>
      </c>
      <c r="R185" s="2">
        <f t="shared" si="2"/>
        <v>15</v>
      </c>
    </row>
    <row r="186">
      <c r="A186" s="1" t="s">
        <v>203</v>
      </c>
      <c r="B186" s="1">
        <v>3.0</v>
      </c>
      <c r="C186" s="1">
        <v>50882.88281</v>
      </c>
      <c r="D186" s="1">
        <v>81.42499542</v>
      </c>
      <c r="E186" s="1">
        <v>97.49165711</v>
      </c>
      <c r="F186" s="1">
        <v>0.1861521591</v>
      </c>
      <c r="G186" s="1">
        <v>0.9536162228</v>
      </c>
      <c r="H186" s="1">
        <v>1.368574512</v>
      </c>
      <c r="I186" s="1">
        <v>86.76707282</v>
      </c>
      <c r="J186" s="1">
        <v>0.7312282016</v>
      </c>
      <c r="K186" s="1">
        <v>5.13386897</v>
      </c>
      <c r="L186" s="1">
        <v>7.367830005</v>
      </c>
      <c r="M186" s="1">
        <v>99.9381928</v>
      </c>
      <c r="N186" s="1">
        <v>0.0618072</v>
      </c>
      <c r="O186" s="1">
        <v>0.0</v>
      </c>
      <c r="P186" s="1">
        <v>0.0</v>
      </c>
      <c r="Q186" s="2">
        <f t="shared" si="1"/>
        <v>16</v>
      </c>
      <c r="R186" s="2">
        <f t="shared" si="2"/>
        <v>15</v>
      </c>
    </row>
    <row r="187">
      <c r="A187" s="1" t="s">
        <v>204</v>
      </c>
      <c r="B187" s="1">
        <v>4.0</v>
      </c>
      <c r="C187" s="1">
        <v>51269.18359</v>
      </c>
      <c r="D187" s="1">
        <v>81.41400146</v>
      </c>
      <c r="E187" s="1">
        <v>99.93139665</v>
      </c>
      <c r="F187" s="1">
        <v>0.0</v>
      </c>
      <c r="G187" s="1">
        <v>0.06860335296</v>
      </c>
      <c r="H187" s="1">
        <v>0.0</v>
      </c>
      <c r="I187" s="1" t="s">
        <v>19</v>
      </c>
      <c r="J187" s="1" t="s">
        <v>19</v>
      </c>
      <c r="K187" s="1" t="s">
        <v>19</v>
      </c>
      <c r="L187" s="1" t="s">
        <v>19</v>
      </c>
      <c r="M187" s="1" t="s">
        <v>19</v>
      </c>
      <c r="N187" s="1" t="s">
        <v>19</v>
      </c>
      <c r="O187" s="1" t="s">
        <v>19</v>
      </c>
      <c r="P187" s="1" t="s">
        <v>19</v>
      </c>
      <c r="Q187" s="2">
        <f t="shared" si="1"/>
        <v>16</v>
      </c>
      <c r="R187" s="2">
        <f t="shared" si="2"/>
        <v>7</v>
      </c>
    </row>
    <row r="188">
      <c r="A188" s="1" t="s">
        <v>205</v>
      </c>
      <c r="B188" s="1">
        <v>2.0</v>
      </c>
      <c r="C188" s="1">
        <v>53771.30078</v>
      </c>
      <c r="D188" s="1">
        <v>27.99499893</v>
      </c>
      <c r="E188" s="1">
        <v>61.63289158</v>
      </c>
      <c r="F188" s="1">
        <v>9.54187005</v>
      </c>
      <c r="G188" s="1">
        <v>9.780087524</v>
      </c>
      <c r="H188" s="1">
        <v>19.04515084</v>
      </c>
      <c r="I188" s="1">
        <v>51.77997893</v>
      </c>
      <c r="J188" s="1">
        <v>11.56900419</v>
      </c>
      <c r="K188" s="1">
        <v>12.51911322</v>
      </c>
      <c r="L188" s="1">
        <v>24.13190366</v>
      </c>
      <c r="M188" s="1">
        <v>86.97523145</v>
      </c>
      <c r="N188" s="1">
        <v>4.327944725</v>
      </c>
      <c r="O188" s="1">
        <v>2.73514263</v>
      </c>
      <c r="P188" s="1">
        <v>5.961681193</v>
      </c>
      <c r="Q188" s="2">
        <f t="shared" si="1"/>
        <v>16</v>
      </c>
      <c r="R188" s="2">
        <f t="shared" si="2"/>
        <v>15</v>
      </c>
    </row>
    <row r="189">
      <c r="A189" s="1" t="s">
        <v>206</v>
      </c>
      <c r="B189" s="1">
        <v>2.0</v>
      </c>
      <c r="C189" s="1">
        <v>54409.79297</v>
      </c>
      <c r="D189" s="1">
        <v>31.14100075</v>
      </c>
      <c r="E189" s="1">
        <v>83.71819191</v>
      </c>
      <c r="F189" s="1">
        <v>1.595436949</v>
      </c>
      <c r="G189" s="1">
        <v>5.10942478</v>
      </c>
      <c r="H189" s="1">
        <v>9.576946362</v>
      </c>
      <c r="I189" s="1">
        <v>78.42256469</v>
      </c>
      <c r="J189" s="1">
        <v>2.316962142</v>
      </c>
      <c r="K189" s="1">
        <v>6.592393694</v>
      </c>
      <c r="L189" s="1">
        <v>12.66807947</v>
      </c>
      <c r="M189" s="1">
        <v>95.42788606</v>
      </c>
      <c r="N189" s="1">
        <v>0.0</v>
      </c>
      <c r="O189" s="1">
        <v>1.830283006</v>
      </c>
      <c r="P189" s="1">
        <v>2.741830931</v>
      </c>
      <c r="Q189" s="2">
        <f t="shared" si="1"/>
        <v>16</v>
      </c>
      <c r="R189" s="2">
        <f t="shared" si="2"/>
        <v>15</v>
      </c>
    </row>
    <row r="190">
      <c r="A190" s="1" t="s">
        <v>207</v>
      </c>
      <c r="B190" s="1">
        <v>3.0</v>
      </c>
      <c r="C190" s="1">
        <v>59308.69141</v>
      </c>
      <c r="D190" s="1">
        <v>67.35400391</v>
      </c>
      <c r="E190" s="1">
        <v>93.88505744</v>
      </c>
      <c r="F190" s="1">
        <v>2.772736186</v>
      </c>
      <c r="G190" s="1">
        <v>1.410816657</v>
      </c>
      <c r="H190" s="1">
        <v>1.931389712</v>
      </c>
      <c r="I190" s="1">
        <v>83.32948118</v>
      </c>
      <c r="J190" s="1">
        <v>6.977359359</v>
      </c>
      <c r="K190" s="1">
        <v>3.776999287</v>
      </c>
      <c r="L190" s="1">
        <v>5.916160173</v>
      </c>
      <c r="M190" s="1">
        <v>99.00126484</v>
      </c>
      <c r="N190" s="1">
        <v>0.734785403</v>
      </c>
      <c r="O190" s="1">
        <v>0.2639497547</v>
      </c>
      <c r="P190" s="1">
        <v>0.0</v>
      </c>
      <c r="Q190" s="2">
        <f t="shared" si="1"/>
        <v>16</v>
      </c>
      <c r="R190" s="2">
        <f t="shared" si="2"/>
        <v>15</v>
      </c>
    </row>
    <row r="191">
      <c r="A191" s="1" t="s">
        <v>208</v>
      </c>
      <c r="B191" s="1">
        <v>2.0</v>
      </c>
      <c r="C191" s="1">
        <v>59734.21484</v>
      </c>
      <c r="D191" s="1">
        <v>35.22700119</v>
      </c>
      <c r="E191" s="1">
        <v>60.71679759</v>
      </c>
      <c r="F191" s="1">
        <v>11.29007067</v>
      </c>
      <c r="G191" s="1">
        <v>14.51775136</v>
      </c>
      <c r="H191" s="1">
        <v>13.47538038</v>
      </c>
      <c r="I191" s="1">
        <v>45.44696534</v>
      </c>
      <c r="J191" s="1">
        <v>13.98368881</v>
      </c>
      <c r="K191" s="1">
        <v>21.21996133</v>
      </c>
      <c r="L191" s="1">
        <v>19.34938452</v>
      </c>
      <c r="M191" s="1">
        <v>88.7939249</v>
      </c>
      <c r="N191" s="1">
        <v>6.337231166</v>
      </c>
      <c r="O191" s="1">
        <v>2.194178786</v>
      </c>
      <c r="P191" s="1">
        <v>2.674665152</v>
      </c>
      <c r="Q191" s="2">
        <f t="shared" si="1"/>
        <v>16</v>
      </c>
      <c r="R191" s="2">
        <f t="shared" si="2"/>
        <v>15</v>
      </c>
    </row>
    <row r="192">
      <c r="A192" s="1" t="s">
        <v>209</v>
      </c>
      <c r="B192" s="1">
        <v>4.0</v>
      </c>
      <c r="C192" s="1">
        <v>60461.82813</v>
      </c>
      <c r="D192" s="1">
        <v>71.03899384</v>
      </c>
      <c r="E192" s="1">
        <v>99.91703407</v>
      </c>
      <c r="F192" s="1">
        <v>0.0</v>
      </c>
      <c r="G192" s="1">
        <v>0.08296592591</v>
      </c>
      <c r="H192" s="1">
        <v>0.0</v>
      </c>
      <c r="I192" s="1" t="s">
        <v>19</v>
      </c>
      <c r="J192" s="1" t="s">
        <v>19</v>
      </c>
      <c r="K192" s="1" t="s">
        <v>19</v>
      </c>
      <c r="L192" s="1" t="s">
        <v>19</v>
      </c>
      <c r="M192" s="1" t="s">
        <v>19</v>
      </c>
      <c r="N192" s="1" t="s">
        <v>19</v>
      </c>
      <c r="O192" s="1" t="s">
        <v>19</v>
      </c>
      <c r="P192" s="1" t="s">
        <v>19</v>
      </c>
      <c r="Q192" s="2">
        <f t="shared" si="1"/>
        <v>16</v>
      </c>
      <c r="R192" s="2">
        <f t="shared" si="2"/>
        <v>7</v>
      </c>
    </row>
    <row r="193">
      <c r="A193" s="1" t="s">
        <v>210</v>
      </c>
      <c r="B193" s="1">
        <v>4.0</v>
      </c>
      <c r="C193" s="1">
        <v>65273.51172</v>
      </c>
      <c r="D193" s="1">
        <v>80.97499847</v>
      </c>
      <c r="E193" s="1">
        <v>99.9999985</v>
      </c>
      <c r="F193" s="1">
        <v>0.0</v>
      </c>
      <c r="G193" s="1">
        <v>1.49610841E-6</v>
      </c>
      <c r="H193" s="1">
        <v>0.0</v>
      </c>
      <c r="I193" s="1">
        <v>100.0</v>
      </c>
      <c r="J193" s="1">
        <v>0.0</v>
      </c>
      <c r="K193" s="1">
        <v>0.0</v>
      </c>
      <c r="L193" s="1">
        <v>0.0</v>
      </c>
      <c r="M193" s="1">
        <v>100.0</v>
      </c>
      <c r="N193" s="1">
        <v>0.0</v>
      </c>
      <c r="O193" s="1">
        <v>0.0</v>
      </c>
      <c r="P193" s="1">
        <v>0.0</v>
      </c>
      <c r="Q193" s="2">
        <f t="shared" si="1"/>
        <v>16</v>
      </c>
      <c r="R193" s="2">
        <f t="shared" si="2"/>
        <v>15</v>
      </c>
    </row>
    <row r="194">
      <c r="A194" s="1" t="s">
        <v>211</v>
      </c>
      <c r="B194" s="1">
        <v>4.0</v>
      </c>
      <c r="C194" s="1">
        <v>67886.00781</v>
      </c>
      <c r="D194" s="1">
        <v>83.90299988</v>
      </c>
      <c r="E194" s="1">
        <v>99.99999856</v>
      </c>
      <c r="F194" s="1">
        <v>0.0</v>
      </c>
      <c r="G194" s="1">
        <v>1.43853282E-6</v>
      </c>
      <c r="H194" s="1">
        <v>0.0</v>
      </c>
      <c r="I194" s="1">
        <v>100.0</v>
      </c>
      <c r="J194" s="1">
        <v>0.0</v>
      </c>
      <c r="K194" s="1">
        <v>0.0</v>
      </c>
      <c r="L194" s="1">
        <v>0.0</v>
      </c>
      <c r="M194" s="1">
        <v>100.0</v>
      </c>
      <c r="N194" s="1">
        <v>0.0</v>
      </c>
      <c r="O194" s="1">
        <v>0.0</v>
      </c>
      <c r="P194" s="1">
        <v>0.0</v>
      </c>
      <c r="Q194" s="2">
        <f t="shared" si="1"/>
        <v>16</v>
      </c>
      <c r="R194" s="2">
        <f t="shared" si="2"/>
        <v>15</v>
      </c>
    </row>
    <row r="195">
      <c r="A195" s="1" t="s">
        <v>212</v>
      </c>
      <c r="B195" s="1">
        <v>3.0</v>
      </c>
      <c r="C195" s="1">
        <v>69799.97656</v>
      </c>
      <c r="D195" s="1">
        <v>51.43000031</v>
      </c>
      <c r="E195" s="1">
        <v>100.0</v>
      </c>
      <c r="F195" s="1">
        <v>0.0</v>
      </c>
      <c r="G195" s="1">
        <v>0.0</v>
      </c>
      <c r="H195" s="1">
        <v>0.0</v>
      </c>
      <c r="I195" s="1">
        <v>100.0</v>
      </c>
      <c r="J195" s="1">
        <v>0.0</v>
      </c>
      <c r="K195" s="1">
        <v>0.0</v>
      </c>
      <c r="L195" s="1">
        <v>0.0</v>
      </c>
      <c r="M195" s="1">
        <v>100.0</v>
      </c>
      <c r="N195" s="1">
        <v>0.0</v>
      </c>
      <c r="O195" s="1">
        <v>0.0</v>
      </c>
      <c r="P195" s="1">
        <v>0.0</v>
      </c>
      <c r="Q195" s="2">
        <f t="shared" si="1"/>
        <v>16</v>
      </c>
      <c r="R195" s="2">
        <f t="shared" si="2"/>
        <v>15</v>
      </c>
    </row>
    <row r="196">
      <c r="A196" s="1" t="s">
        <v>213</v>
      </c>
      <c r="B196" s="1">
        <v>4.0</v>
      </c>
      <c r="C196" s="1">
        <v>83783.94531</v>
      </c>
      <c r="D196" s="1">
        <v>77.45300293</v>
      </c>
      <c r="E196" s="1">
        <v>100.0000023</v>
      </c>
      <c r="F196" s="1">
        <v>0.0</v>
      </c>
      <c r="G196" s="1">
        <v>0.0</v>
      </c>
      <c r="H196" s="1">
        <v>0.0</v>
      </c>
      <c r="I196" s="1">
        <v>100.0</v>
      </c>
      <c r="J196" s="1">
        <v>0.0</v>
      </c>
      <c r="K196" s="1">
        <v>0.0</v>
      </c>
      <c r="L196" s="1">
        <v>0.0</v>
      </c>
      <c r="M196" s="1">
        <v>100.0</v>
      </c>
      <c r="N196" s="1">
        <v>0.0</v>
      </c>
      <c r="O196" s="1">
        <v>0.0</v>
      </c>
      <c r="P196" s="1">
        <v>0.0</v>
      </c>
      <c r="Q196" s="2">
        <f t="shared" si="1"/>
        <v>16</v>
      </c>
      <c r="R196" s="2">
        <f t="shared" si="2"/>
        <v>15</v>
      </c>
    </row>
    <row r="197">
      <c r="A197" s="1" t="s">
        <v>214</v>
      </c>
      <c r="B197" s="1">
        <v>2.0</v>
      </c>
      <c r="C197" s="1">
        <v>83992.95313</v>
      </c>
      <c r="D197" s="1">
        <v>75.87400055</v>
      </c>
      <c r="E197" s="1">
        <v>97.48263633</v>
      </c>
      <c r="F197" s="1">
        <v>1.938311229</v>
      </c>
      <c r="G197" s="1">
        <v>0.5137973631</v>
      </c>
      <c r="H197" s="1">
        <v>0.06525508185</v>
      </c>
      <c r="I197" s="1">
        <v>93.82873538</v>
      </c>
      <c r="J197" s="1">
        <v>4.297948765</v>
      </c>
      <c r="K197" s="1">
        <v>1.602839669</v>
      </c>
      <c r="L197" s="1">
        <v>0.2704761905</v>
      </c>
      <c r="M197" s="1">
        <v>98.64448672</v>
      </c>
      <c r="N197" s="1">
        <v>1.188006671</v>
      </c>
      <c r="O197" s="1">
        <v>0.1675066077</v>
      </c>
      <c r="P197" s="1">
        <v>0.0</v>
      </c>
      <c r="Q197" s="2">
        <f t="shared" si="1"/>
        <v>16</v>
      </c>
      <c r="R197" s="2">
        <f t="shared" si="2"/>
        <v>15</v>
      </c>
    </row>
    <row r="198">
      <c r="A198" s="1" t="s">
        <v>215</v>
      </c>
      <c r="B198" s="1">
        <v>3.0</v>
      </c>
      <c r="C198" s="1">
        <v>84339.07031</v>
      </c>
      <c r="D198" s="1">
        <v>76.10500336</v>
      </c>
      <c r="E198" s="1">
        <v>97.01426916</v>
      </c>
      <c r="F198" s="1">
        <v>2.023078075</v>
      </c>
      <c r="G198" s="1">
        <v>0.7376749545</v>
      </c>
      <c r="H198" s="1">
        <v>0.2249778093</v>
      </c>
      <c r="I198" s="1">
        <v>96.02516977</v>
      </c>
      <c r="J198" s="1">
        <v>2.684574639</v>
      </c>
      <c r="K198" s="1">
        <v>0.7882555911</v>
      </c>
      <c r="L198" s="1">
        <v>0.502</v>
      </c>
      <c r="M198" s="1">
        <v>97.32481783</v>
      </c>
      <c r="N198" s="1">
        <v>1.815385203</v>
      </c>
      <c r="O198" s="1">
        <v>0.7217969634</v>
      </c>
      <c r="P198" s="1">
        <v>0.138</v>
      </c>
      <c r="Q198" s="2">
        <f t="shared" si="1"/>
        <v>16</v>
      </c>
      <c r="R198" s="2">
        <f t="shared" si="2"/>
        <v>15</v>
      </c>
    </row>
    <row r="199">
      <c r="A199" s="1" t="s">
        <v>216</v>
      </c>
      <c r="B199" s="1">
        <v>2.0</v>
      </c>
      <c r="C199" s="1">
        <v>89561.40625</v>
      </c>
      <c r="D199" s="1">
        <v>45.63800049</v>
      </c>
      <c r="E199" s="1">
        <v>45.95212696</v>
      </c>
      <c r="F199" s="1">
        <v>13.44122447</v>
      </c>
      <c r="G199" s="1">
        <v>32.54231607</v>
      </c>
      <c r="H199" s="1">
        <v>8.064332495</v>
      </c>
      <c r="I199" s="1">
        <v>21.98279234</v>
      </c>
      <c r="J199" s="1">
        <v>12.68294146</v>
      </c>
      <c r="K199" s="1">
        <v>51.21598167</v>
      </c>
      <c r="L199" s="1">
        <v>14.11828453</v>
      </c>
      <c r="M199" s="1">
        <v>74.50335478</v>
      </c>
      <c r="N199" s="1">
        <v>14.34445818</v>
      </c>
      <c r="O199" s="1">
        <v>10.29905862</v>
      </c>
      <c r="P199" s="1">
        <v>0.8531284131</v>
      </c>
      <c r="Q199" s="2">
        <f t="shared" si="1"/>
        <v>16</v>
      </c>
      <c r="R199" s="2">
        <f t="shared" si="2"/>
        <v>15</v>
      </c>
    </row>
    <row r="200">
      <c r="A200" s="1" t="s">
        <v>217</v>
      </c>
      <c r="B200" s="1">
        <v>2.0</v>
      </c>
      <c r="C200" s="1">
        <v>97338.58594</v>
      </c>
      <c r="D200" s="1">
        <v>37.34000015</v>
      </c>
      <c r="E200" s="1">
        <v>96.88435687</v>
      </c>
      <c r="F200" s="1">
        <v>0.0</v>
      </c>
      <c r="G200" s="1">
        <v>3.115643126</v>
      </c>
      <c r="H200" s="1">
        <v>0.0</v>
      </c>
      <c r="I200" s="1">
        <v>95.51453844</v>
      </c>
      <c r="J200" s="1">
        <v>0.0</v>
      </c>
      <c r="K200" s="1">
        <v>4.48546156</v>
      </c>
      <c r="L200" s="1">
        <v>0.0</v>
      </c>
      <c r="M200" s="1">
        <v>99.18304001</v>
      </c>
      <c r="N200" s="1">
        <v>0.0</v>
      </c>
      <c r="O200" s="1">
        <v>0.816959987</v>
      </c>
      <c r="P200" s="1">
        <v>0.0</v>
      </c>
      <c r="Q200" s="2">
        <f t="shared" si="1"/>
        <v>16</v>
      </c>
      <c r="R200" s="2">
        <f t="shared" si="2"/>
        <v>15</v>
      </c>
    </row>
    <row r="201">
      <c r="A201" s="1" t="s">
        <v>218</v>
      </c>
      <c r="B201" s="1">
        <v>2.0</v>
      </c>
      <c r="C201" s="1">
        <v>102334.4063</v>
      </c>
      <c r="D201" s="1">
        <v>42.78300095</v>
      </c>
      <c r="E201" s="1">
        <v>99.44017596</v>
      </c>
      <c r="F201" s="1">
        <v>0.2376091086</v>
      </c>
      <c r="G201" s="1">
        <v>0.3222149265</v>
      </c>
      <c r="H201" s="1">
        <v>0.0</v>
      </c>
      <c r="I201" s="1">
        <v>99.33283515</v>
      </c>
      <c r="J201" s="1">
        <v>0.3359418224</v>
      </c>
      <c r="K201" s="1">
        <v>0.3312230319</v>
      </c>
      <c r="L201" s="1">
        <v>0.0</v>
      </c>
      <c r="M201" s="1">
        <v>99.5837311</v>
      </c>
      <c r="N201" s="1">
        <v>0.1061012067</v>
      </c>
      <c r="O201" s="1">
        <v>0.3101676943</v>
      </c>
      <c r="P201" s="1">
        <v>0.0</v>
      </c>
      <c r="Q201" s="2">
        <f t="shared" si="1"/>
        <v>16</v>
      </c>
      <c r="R201" s="2">
        <f t="shared" si="2"/>
        <v>15</v>
      </c>
    </row>
    <row r="202">
      <c r="A202" s="1" t="s">
        <v>219</v>
      </c>
      <c r="B202" s="1">
        <v>2.0</v>
      </c>
      <c r="C202" s="1">
        <v>109581.0859</v>
      </c>
      <c r="D202" s="1">
        <v>47.40799713</v>
      </c>
      <c r="E202" s="1">
        <v>94.10903456</v>
      </c>
      <c r="F202" s="1">
        <v>2.856486137</v>
      </c>
      <c r="G202" s="1">
        <v>3.034479307</v>
      </c>
      <c r="H202" s="1">
        <v>0.0</v>
      </c>
      <c r="I202" s="1">
        <v>91.06193322</v>
      </c>
      <c r="J202" s="1">
        <v>3.959520428</v>
      </c>
      <c r="K202" s="1">
        <v>4.978546347</v>
      </c>
      <c r="L202" s="1">
        <v>0.0</v>
      </c>
      <c r="M202" s="1">
        <v>97.4893325</v>
      </c>
      <c r="N202" s="1">
        <v>1.632836465</v>
      </c>
      <c r="O202" s="1">
        <v>0.877831036</v>
      </c>
      <c r="P202" s="1">
        <v>0.0</v>
      </c>
      <c r="Q202" s="2">
        <f t="shared" si="1"/>
        <v>16</v>
      </c>
      <c r="R202" s="2">
        <f t="shared" si="2"/>
        <v>15</v>
      </c>
    </row>
    <row r="203">
      <c r="A203" s="1" t="s">
        <v>220</v>
      </c>
      <c r="B203" s="1">
        <v>1.0</v>
      </c>
      <c r="C203" s="1">
        <v>114963.5859</v>
      </c>
      <c r="D203" s="1">
        <v>21.69499969</v>
      </c>
      <c r="E203" s="1">
        <v>49.61557274</v>
      </c>
      <c r="F203" s="1">
        <v>26.74071964</v>
      </c>
      <c r="G203" s="1">
        <v>18.63506013</v>
      </c>
      <c r="H203" s="1">
        <v>5.008647486</v>
      </c>
      <c r="I203" s="1">
        <v>40.03013919</v>
      </c>
      <c r="J203" s="1">
        <v>30.18668334</v>
      </c>
      <c r="K203" s="1">
        <v>23.49561327</v>
      </c>
      <c r="L203" s="1">
        <v>6.287564203</v>
      </c>
      <c r="M203" s="1">
        <v>84.21282816</v>
      </c>
      <c r="N203" s="1">
        <v>14.30300858</v>
      </c>
      <c r="O203" s="1">
        <v>1.091582355</v>
      </c>
      <c r="P203" s="1">
        <v>0.392580896</v>
      </c>
      <c r="Q203" s="2">
        <f t="shared" si="1"/>
        <v>16</v>
      </c>
      <c r="R203" s="2">
        <f t="shared" si="2"/>
        <v>15</v>
      </c>
    </row>
    <row r="204">
      <c r="A204" s="1" t="s">
        <v>221</v>
      </c>
      <c r="B204" s="1">
        <v>4.0</v>
      </c>
      <c r="C204" s="1">
        <v>126476.4609</v>
      </c>
      <c r="D204" s="1">
        <v>91.78199768</v>
      </c>
      <c r="E204" s="1">
        <v>99.07891245</v>
      </c>
      <c r="F204" s="1">
        <v>0.0</v>
      </c>
      <c r="G204" s="1">
        <v>0.9210875467</v>
      </c>
      <c r="H204" s="1">
        <v>0.0</v>
      </c>
      <c r="I204" s="1" t="s">
        <v>19</v>
      </c>
      <c r="J204" s="1" t="s">
        <v>19</v>
      </c>
      <c r="K204" s="1" t="s">
        <v>19</v>
      </c>
      <c r="L204" s="1" t="s">
        <v>19</v>
      </c>
      <c r="M204" s="1" t="s">
        <v>19</v>
      </c>
      <c r="N204" s="1" t="s">
        <v>19</v>
      </c>
      <c r="O204" s="1" t="s">
        <v>19</v>
      </c>
      <c r="P204" s="1" t="s">
        <v>19</v>
      </c>
      <c r="Q204" s="2">
        <f t="shared" si="1"/>
        <v>16</v>
      </c>
      <c r="R204" s="2">
        <f t="shared" si="2"/>
        <v>7</v>
      </c>
    </row>
    <row r="205">
      <c r="A205" s="1" t="s">
        <v>222</v>
      </c>
      <c r="B205" s="1">
        <v>3.0</v>
      </c>
      <c r="C205" s="1">
        <v>128932.75</v>
      </c>
      <c r="D205" s="1">
        <v>80.73099518</v>
      </c>
      <c r="E205" s="1">
        <v>99.67956828</v>
      </c>
      <c r="F205" s="1">
        <v>0.0</v>
      </c>
      <c r="G205" s="1">
        <v>0.3204317169</v>
      </c>
      <c r="H205" s="1">
        <v>0.0</v>
      </c>
      <c r="I205" s="1">
        <v>98.33706893</v>
      </c>
      <c r="J205" s="1">
        <v>0.0</v>
      </c>
      <c r="K205" s="1">
        <v>1.662931067</v>
      </c>
      <c r="L205" s="1">
        <v>0.0</v>
      </c>
      <c r="M205" s="1">
        <v>100.0</v>
      </c>
      <c r="N205" s="1">
        <v>0.0</v>
      </c>
      <c r="O205" s="1">
        <v>0.0</v>
      </c>
      <c r="P205" s="1">
        <v>0.0</v>
      </c>
      <c r="Q205" s="2">
        <f t="shared" si="1"/>
        <v>16</v>
      </c>
      <c r="R205" s="2">
        <f t="shared" si="2"/>
        <v>15</v>
      </c>
    </row>
    <row r="206">
      <c r="A206" s="1" t="s">
        <v>223</v>
      </c>
      <c r="B206" s="1">
        <v>3.0</v>
      </c>
      <c r="C206" s="1">
        <v>145934.4531</v>
      </c>
      <c r="D206" s="1">
        <v>74.75400543</v>
      </c>
      <c r="E206" s="1">
        <v>96.99254807</v>
      </c>
      <c r="F206" s="1">
        <v>0.6219963766</v>
      </c>
      <c r="G206" s="1">
        <v>2.38545555</v>
      </c>
      <c r="H206" s="1" t="s">
        <v>19</v>
      </c>
      <c r="I206" s="1">
        <v>91.54410196</v>
      </c>
      <c r="J206" s="1">
        <v>1.583163513</v>
      </c>
      <c r="K206" s="1">
        <v>6.872734531</v>
      </c>
      <c r="L206" s="1" t="s">
        <v>19</v>
      </c>
      <c r="M206" s="1">
        <v>98.83259961</v>
      </c>
      <c r="N206" s="1">
        <v>0.2973899687</v>
      </c>
      <c r="O206" s="1">
        <v>0.6700104236</v>
      </c>
      <c r="P206" s="1">
        <v>0.2</v>
      </c>
      <c r="Q206" s="2">
        <f t="shared" si="1"/>
        <v>16</v>
      </c>
      <c r="R206" s="2">
        <f t="shared" si="2"/>
        <v>13</v>
      </c>
    </row>
    <row r="207">
      <c r="A207" s="1" t="s">
        <v>224</v>
      </c>
      <c r="B207" s="1">
        <v>2.0</v>
      </c>
      <c r="C207" s="1">
        <v>164689.3906</v>
      </c>
      <c r="D207" s="1">
        <v>38.17700195</v>
      </c>
      <c r="E207" s="1">
        <v>97.69796025</v>
      </c>
      <c r="F207" s="1">
        <v>1.156425878</v>
      </c>
      <c r="G207" s="1">
        <v>0.4626557002</v>
      </c>
      <c r="H207" s="1">
        <v>0.6829581735</v>
      </c>
      <c r="I207" s="1">
        <v>97.88023776</v>
      </c>
      <c r="J207" s="1">
        <v>0.8581049804</v>
      </c>
      <c r="K207" s="1">
        <v>0.3164802414</v>
      </c>
      <c r="L207" s="1">
        <v>0.9451770151</v>
      </c>
      <c r="M207" s="1">
        <v>97.40277797</v>
      </c>
      <c r="N207" s="1">
        <v>1.639520121</v>
      </c>
      <c r="O207" s="1">
        <v>0.6993752147</v>
      </c>
      <c r="P207" s="1">
        <v>0.2583266934</v>
      </c>
      <c r="Q207" s="2">
        <f t="shared" si="1"/>
        <v>16</v>
      </c>
      <c r="R207" s="2">
        <f t="shared" si="2"/>
        <v>15</v>
      </c>
    </row>
    <row r="208">
      <c r="A208" s="1" t="s">
        <v>225</v>
      </c>
      <c r="B208" s="1">
        <v>2.0</v>
      </c>
      <c r="C208" s="1">
        <v>206139.5938</v>
      </c>
      <c r="D208" s="1">
        <v>51.95800018</v>
      </c>
      <c r="E208" s="1">
        <v>77.60905338</v>
      </c>
      <c r="F208" s="1">
        <v>4.979399343</v>
      </c>
      <c r="G208" s="1">
        <v>11.79691148</v>
      </c>
      <c r="H208" s="1">
        <v>5.614635794</v>
      </c>
      <c r="I208" s="1">
        <v>61.65821003</v>
      </c>
      <c r="J208" s="1">
        <v>7.128924583</v>
      </c>
      <c r="K208" s="1">
        <v>20.92487535</v>
      </c>
      <c r="L208" s="1">
        <v>10.28799004</v>
      </c>
      <c r="M208" s="1">
        <v>92.35770519</v>
      </c>
      <c r="N208" s="1">
        <v>2.99188065</v>
      </c>
      <c r="O208" s="1">
        <v>3.356908786</v>
      </c>
      <c r="P208" s="1">
        <v>1.29350537</v>
      </c>
      <c r="Q208" s="2">
        <f t="shared" si="1"/>
        <v>16</v>
      </c>
      <c r="R208" s="2">
        <f t="shared" si="2"/>
        <v>15</v>
      </c>
    </row>
    <row r="209">
      <c r="A209" s="1" t="s">
        <v>226</v>
      </c>
      <c r="B209" s="1">
        <v>3.0</v>
      </c>
      <c r="C209" s="1">
        <v>212559.4063</v>
      </c>
      <c r="D209" s="1">
        <v>87.07299805</v>
      </c>
      <c r="E209" s="1">
        <v>99.32085299</v>
      </c>
      <c r="F209" s="1">
        <v>0.1265490039</v>
      </c>
      <c r="G209" s="1">
        <v>0.5525980099</v>
      </c>
      <c r="H209" s="1" t="s">
        <v>19</v>
      </c>
      <c r="I209" s="1">
        <v>95.94525953</v>
      </c>
      <c r="J209" s="1">
        <v>0.9789509154</v>
      </c>
      <c r="K209" s="1">
        <v>3.075789551</v>
      </c>
      <c r="L209" s="1" t="s">
        <v>19</v>
      </c>
      <c r="M209" s="1">
        <v>99.82200131</v>
      </c>
      <c r="N209" s="1">
        <v>0.0</v>
      </c>
      <c r="O209" s="1">
        <v>0.1779986949</v>
      </c>
      <c r="P209" s="1">
        <v>0.0</v>
      </c>
      <c r="Q209" s="2">
        <f t="shared" si="1"/>
        <v>16</v>
      </c>
      <c r="R209" s="2">
        <f t="shared" si="2"/>
        <v>13</v>
      </c>
    </row>
    <row r="210">
      <c r="A210" s="1" t="s">
        <v>227</v>
      </c>
      <c r="B210" s="1">
        <v>2.0</v>
      </c>
      <c r="C210" s="1">
        <v>220892.3281</v>
      </c>
      <c r="D210" s="1">
        <v>37.16500092</v>
      </c>
      <c r="E210" s="1">
        <v>90.14896508</v>
      </c>
      <c r="F210" s="1">
        <v>3.822279525</v>
      </c>
      <c r="G210" s="1">
        <v>4.413307574</v>
      </c>
      <c r="H210" s="1">
        <v>1.61544782</v>
      </c>
      <c r="I210" s="1">
        <v>88.59986076</v>
      </c>
      <c r="J210" s="1">
        <v>3.852278117</v>
      </c>
      <c r="K210" s="1">
        <v>5.174596509</v>
      </c>
      <c r="L210" s="1">
        <v>2.373264617</v>
      </c>
      <c r="M210" s="1">
        <v>92.76804985</v>
      </c>
      <c r="N210" s="1">
        <v>3.771561162</v>
      </c>
      <c r="O210" s="1">
        <v>3.126184571</v>
      </c>
      <c r="P210" s="1">
        <v>0.3342044223</v>
      </c>
      <c r="Q210" s="2">
        <f t="shared" si="1"/>
        <v>16</v>
      </c>
      <c r="R210" s="2">
        <f t="shared" si="2"/>
        <v>15</v>
      </c>
    </row>
    <row r="211">
      <c r="A211" s="1" t="s">
        <v>228</v>
      </c>
      <c r="B211" s="1">
        <v>2.0</v>
      </c>
      <c r="C211" s="1">
        <v>273523.625</v>
      </c>
      <c r="D211" s="1">
        <v>56.64099884</v>
      </c>
      <c r="E211" s="1">
        <v>92.41534961</v>
      </c>
      <c r="F211" s="1">
        <v>0.8554746335</v>
      </c>
      <c r="G211" s="1">
        <v>5.553871666</v>
      </c>
      <c r="H211" s="1">
        <v>1.175304087</v>
      </c>
      <c r="I211" s="1">
        <v>85.66796238</v>
      </c>
      <c r="J211" s="1">
        <v>1.17809123</v>
      </c>
      <c r="K211" s="1">
        <v>10.61491462</v>
      </c>
      <c r="L211" s="1">
        <v>2.539031772</v>
      </c>
      <c r="M211" s="1">
        <v>97.58051207</v>
      </c>
      <c r="N211" s="1">
        <v>0.6085098345</v>
      </c>
      <c r="O211" s="1">
        <v>1.679615139</v>
      </c>
      <c r="P211" s="1">
        <v>0.1313629588</v>
      </c>
      <c r="Q211" s="2">
        <f t="shared" si="1"/>
        <v>16</v>
      </c>
      <c r="R211" s="2">
        <f t="shared" si="2"/>
        <v>15</v>
      </c>
    </row>
    <row r="212">
      <c r="A212" s="1" t="s">
        <v>229</v>
      </c>
      <c r="B212" s="1">
        <v>4.0</v>
      </c>
      <c r="C212" s="1">
        <v>331002.6563</v>
      </c>
      <c r="D212" s="1">
        <v>82.66400146</v>
      </c>
      <c r="E212" s="1">
        <v>99.88352668</v>
      </c>
      <c r="F212" s="1">
        <v>0.0</v>
      </c>
      <c r="G212" s="1">
        <v>0.1164733182</v>
      </c>
      <c r="H212" s="1">
        <v>0.0</v>
      </c>
      <c r="I212" s="1">
        <v>99.67078734</v>
      </c>
      <c r="J212" s="1">
        <v>0.0</v>
      </c>
      <c r="K212" s="1">
        <v>0.3292126628</v>
      </c>
      <c r="L212" s="1">
        <v>0.0</v>
      </c>
      <c r="M212" s="1">
        <v>99.92814447</v>
      </c>
      <c r="N212" s="1">
        <v>0.0</v>
      </c>
      <c r="O212" s="1">
        <v>0.0718555296</v>
      </c>
      <c r="P212" s="1">
        <v>0.0</v>
      </c>
      <c r="Q212" s="2">
        <f t="shared" si="1"/>
        <v>16</v>
      </c>
      <c r="R212" s="2">
        <f t="shared" si="2"/>
        <v>15</v>
      </c>
    </row>
    <row r="213">
      <c r="A213" s="1" t="s">
        <v>230</v>
      </c>
      <c r="B213" s="1">
        <v>2.0</v>
      </c>
      <c r="C213" s="1">
        <v>1380004.375</v>
      </c>
      <c r="D213" s="1">
        <v>34.9260025</v>
      </c>
      <c r="E213" s="1">
        <v>90.48952503</v>
      </c>
      <c r="F213" s="1">
        <v>4.983602562</v>
      </c>
      <c r="G213" s="1">
        <v>3.963153945</v>
      </c>
      <c r="H213" s="1">
        <v>0.5637184626</v>
      </c>
      <c r="I213" s="1">
        <v>88.78250313</v>
      </c>
      <c r="J213" s="1">
        <v>5.902210054</v>
      </c>
      <c r="K213" s="1">
        <v>4.57637573</v>
      </c>
      <c r="L213" s="1">
        <v>0.7389110856</v>
      </c>
      <c r="M213" s="1">
        <v>93.6700363</v>
      </c>
      <c r="N213" s="1">
        <v>3.272056027</v>
      </c>
      <c r="O213" s="1">
        <v>2.820607523</v>
      </c>
      <c r="P213" s="1">
        <v>0.2373001538</v>
      </c>
      <c r="Q213" s="2">
        <f t="shared" si="1"/>
        <v>16</v>
      </c>
      <c r="R213" s="2">
        <f t="shared" si="2"/>
        <v>15</v>
      </c>
    </row>
    <row r="214">
      <c r="A214" s="1" t="s">
        <v>231</v>
      </c>
      <c r="B214" s="1">
        <v>3.0</v>
      </c>
      <c r="C214" s="1">
        <v>1463140.5</v>
      </c>
      <c r="D214" s="1">
        <v>61.71308899</v>
      </c>
      <c r="E214" s="1">
        <v>94.26111059</v>
      </c>
      <c r="F214" s="1">
        <v>0.8147213297</v>
      </c>
      <c r="G214" s="1">
        <v>4.725451938</v>
      </c>
      <c r="H214" s="1">
        <v>0.1987161441</v>
      </c>
      <c r="I214" s="1">
        <v>89.66123351</v>
      </c>
      <c r="J214" s="1">
        <v>1.832679086</v>
      </c>
      <c r="K214" s="1">
        <v>8.506087409</v>
      </c>
      <c r="L214" s="1">
        <v>0.0</v>
      </c>
      <c r="M214" s="1">
        <v>97.11488267</v>
      </c>
      <c r="N214" s="1">
        <v>0.1831784927</v>
      </c>
      <c r="O214" s="1">
        <v>2.37993884</v>
      </c>
      <c r="P214" s="1">
        <v>0.322</v>
      </c>
      <c r="Q214" s="2">
        <f t="shared" si="1"/>
        <v>16</v>
      </c>
      <c r="R214" s="2">
        <f t="shared" si="2"/>
        <v>15</v>
      </c>
    </row>
  </sheetData>
  <autoFilter ref="$A$1:$R$21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88"/>
    <col customWidth="1" min="3" max="4" width="16.63"/>
    <col customWidth="1" min="18" max="18" width="29.75"/>
    <col customWidth="1" min="19" max="19" width="21.13"/>
    <col customWidth="1" min="24" max="24" width="29.38"/>
    <col customWidth="1" min="29" max="29" width="31.25"/>
    <col customWidth="1" min="35" max="35" width="16.25"/>
  </cols>
  <sheetData>
    <row r="1">
      <c r="A1" s="1" t="s">
        <v>0</v>
      </c>
      <c r="B1" s="1" t="s">
        <v>1</v>
      </c>
      <c r="C1" s="1" t="s">
        <v>2</v>
      </c>
      <c r="D1" s="1" t="s">
        <v>232</v>
      </c>
      <c r="E1" s="1" t="s">
        <v>233</v>
      </c>
      <c r="F1" s="1" t="s">
        <v>3</v>
      </c>
      <c r="G1" s="1" t="s">
        <v>234</v>
      </c>
      <c r="R1" s="3" t="s">
        <v>4</v>
      </c>
      <c r="S1" s="1" t="s">
        <v>235</v>
      </c>
      <c r="T1" s="3" t="s">
        <v>5</v>
      </c>
      <c r="U1" s="3" t="s">
        <v>6</v>
      </c>
      <c r="V1" s="3" t="s">
        <v>7</v>
      </c>
      <c r="W1" s="3"/>
      <c r="X1" s="1" t="s">
        <v>8</v>
      </c>
      <c r="Y1" s="1" t="s">
        <v>9</v>
      </c>
      <c r="Z1" s="1" t="s">
        <v>10</v>
      </c>
      <c r="AA1" s="1" t="s">
        <v>11</v>
      </c>
      <c r="AB1" s="1"/>
      <c r="AC1" s="1" t="s">
        <v>12</v>
      </c>
      <c r="AD1" s="1" t="s">
        <v>13</v>
      </c>
      <c r="AE1" s="1" t="s">
        <v>14</v>
      </c>
      <c r="AF1" s="1" t="s">
        <v>15</v>
      </c>
      <c r="AG1" s="1"/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/>
      <c r="AN1" s="1"/>
      <c r="AO1" s="1"/>
      <c r="AP1" s="1" t="s">
        <v>1</v>
      </c>
      <c r="AQ1" s="1" t="s">
        <v>2</v>
      </c>
      <c r="AR1" s="1" t="s">
        <v>3</v>
      </c>
      <c r="AS1" s="3" t="s">
        <v>4</v>
      </c>
      <c r="AT1" s="3" t="s">
        <v>5</v>
      </c>
      <c r="AU1" s="3" t="s">
        <v>6</v>
      </c>
      <c r="AV1" s="3" t="s">
        <v>7</v>
      </c>
    </row>
    <row r="2">
      <c r="A2" s="1" t="s">
        <v>18</v>
      </c>
      <c r="B2" s="1">
        <v>0.0</v>
      </c>
      <c r="C2" s="1">
        <v>1.350000024</v>
      </c>
      <c r="D2" s="1">
        <f>ROUNDUP(C2*1000, -6)</f>
        <v>1000000</v>
      </c>
      <c r="E2" s="2">
        <f t="shared" ref="E2:E214" si="1">100-F2</f>
        <v>100</v>
      </c>
      <c r="F2" s="1">
        <v>0.0</v>
      </c>
      <c r="G2" s="4">
        <f t="shared" ref="G2:G214" si="2">C2*(F2/100)</f>
        <v>0</v>
      </c>
      <c r="R2" s="5">
        <v>99.70767665</v>
      </c>
      <c r="S2" s="5">
        <f t="shared" ref="S2:S85" si="3">ROUND(R2,0)</f>
        <v>100</v>
      </c>
      <c r="T2" s="5">
        <v>0.0</v>
      </c>
      <c r="U2" s="5">
        <v>0.2923233459</v>
      </c>
      <c r="V2" s="5">
        <v>0.0</v>
      </c>
      <c r="W2" s="5"/>
      <c r="X2" s="1">
        <v>99.70767665</v>
      </c>
      <c r="Y2" s="1">
        <v>0.0</v>
      </c>
      <c r="Z2" s="1">
        <v>0.2923233459</v>
      </c>
      <c r="AA2" s="1">
        <v>0.0</v>
      </c>
      <c r="AB2" s="1"/>
      <c r="AC2" s="1" t="s">
        <v>19</v>
      </c>
      <c r="AD2" s="1" t="s">
        <v>19</v>
      </c>
      <c r="AE2" s="1" t="s">
        <v>19</v>
      </c>
      <c r="AF2" s="1" t="s">
        <v>19</v>
      </c>
      <c r="AG2" s="1"/>
      <c r="AH2" s="1" t="s">
        <v>4</v>
      </c>
      <c r="AI2" s="1">
        <f>MIN(R2:R214)</f>
        <v>37.20240205</v>
      </c>
      <c r="AJ2" s="1">
        <f>ROUND(MAX(R2:R214),0)</f>
        <v>100</v>
      </c>
      <c r="AK2" s="1">
        <f>QUARTILE(R2:R214, 1)</f>
        <v>85.64331096</v>
      </c>
      <c r="AL2" s="1">
        <f>QUARTILE(R2:R214, 3)</f>
        <v>99.88752524</v>
      </c>
      <c r="AM2" s="1"/>
      <c r="AN2" s="1"/>
      <c r="AO2" s="1"/>
      <c r="AP2" s="1">
        <v>0.0</v>
      </c>
      <c r="AQ2" s="1">
        <v>1.350000024</v>
      </c>
      <c r="AR2" s="1">
        <v>0.0</v>
      </c>
      <c r="AS2" s="5">
        <v>99.70767665</v>
      </c>
      <c r="AT2" s="5">
        <v>0.0</v>
      </c>
      <c r="AU2" s="5">
        <v>0.2923233459</v>
      </c>
      <c r="AV2" s="5">
        <v>0.0</v>
      </c>
    </row>
    <row r="3">
      <c r="A3" s="1" t="s">
        <v>20</v>
      </c>
      <c r="B3" s="1">
        <v>0.0</v>
      </c>
      <c r="C3" s="1">
        <v>1.618000031</v>
      </c>
      <c r="D3" s="1">
        <f>ROUNDUP((C3*1000), -6)</f>
        <v>1000000</v>
      </c>
      <c r="E3" s="2">
        <f t="shared" si="1"/>
        <v>53.79799652</v>
      </c>
      <c r="F3" s="1">
        <v>46.20200348</v>
      </c>
      <c r="G3" s="4">
        <f t="shared" si="2"/>
        <v>0.7475484306</v>
      </c>
      <c r="R3" s="5">
        <v>97.01087618</v>
      </c>
      <c r="S3" s="5">
        <f t="shared" si="3"/>
        <v>97</v>
      </c>
      <c r="T3" s="5">
        <v>0.0</v>
      </c>
      <c r="U3" s="5">
        <v>2.989123822</v>
      </c>
      <c r="V3" s="5">
        <v>0.0</v>
      </c>
      <c r="W3" s="5"/>
      <c r="X3" s="1" t="s">
        <v>19</v>
      </c>
      <c r="Y3" s="1" t="s">
        <v>19</v>
      </c>
      <c r="Z3" s="1" t="s">
        <v>19</v>
      </c>
      <c r="AA3" s="1" t="s">
        <v>19</v>
      </c>
      <c r="AB3" s="1"/>
      <c r="AC3" s="1" t="s">
        <v>19</v>
      </c>
      <c r="AD3" s="1" t="s">
        <v>19</v>
      </c>
      <c r="AE3" s="1" t="s">
        <v>19</v>
      </c>
      <c r="AF3" s="1" t="s">
        <v>19</v>
      </c>
      <c r="AG3" s="1"/>
      <c r="AH3" s="1" t="s">
        <v>5</v>
      </c>
      <c r="AI3" s="1">
        <f>MIN(T2:T214)</f>
        <v>0</v>
      </c>
      <c r="AJ3" s="1">
        <f>MAX(T2:T214)</f>
        <v>37.42696287</v>
      </c>
      <c r="AK3" s="2">
        <f>QUARTILE(T2:T214, 1)</f>
        <v>0</v>
      </c>
      <c r="AL3" s="1">
        <f>QUARTILE(T2:T214, 3)</f>
        <v>4.851219157</v>
      </c>
      <c r="AM3" s="1"/>
      <c r="AN3" s="1"/>
      <c r="AO3" s="1"/>
      <c r="AP3" s="1">
        <v>0.0</v>
      </c>
      <c r="AQ3" s="1">
        <v>1.618000031</v>
      </c>
      <c r="AR3" s="1">
        <v>46.20200348</v>
      </c>
      <c r="AS3" s="5">
        <v>97.01087618</v>
      </c>
      <c r="AT3" s="5">
        <v>0.0</v>
      </c>
      <c r="AU3" s="5">
        <v>2.989123822</v>
      </c>
      <c r="AV3" s="5">
        <v>0.0</v>
      </c>
    </row>
    <row r="4">
      <c r="A4" s="1" t="s">
        <v>21</v>
      </c>
      <c r="B4" s="1">
        <v>0.0</v>
      </c>
      <c r="C4" s="1">
        <v>3.48300004</v>
      </c>
      <c r="D4" s="1">
        <f t="shared" ref="D4:D214" si="4">ROUNDUP(C4*1000, -6)</f>
        <v>1000000</v>
      </c>
      <c r="E4" s="2">
        <f t="shared" si="1"/>
        <v>21.49200439</v>
      </c>
      <c r="F4" s="1">
        <v>78.50799561</v>
      </c>
      <c r="G4" s="4">
        <f t="shared" si="2"/>
        <v>2.734433518</v>
      </c>
      <c r="R4" s="5">
        <v>95.3089274</v>
      </c>
      <c r="S4" s="5">
        <f t="shared" si="3"/>
        <v>95</v>
      </c>
      <c r="T4" s="5">
        <v>0.0</v>
      </c>
      <c r="U4" s="5">
        <v>4.691072596</v>
      </c>
      <c r="V4" s="5">
        <v>0.0</v>
      </c>
      <c r="W4" s="5"/>
      <c r="X4" s="1">
        <v>78.17294282</v>
      </c>
      <c r="Y4" s="1">
        <v>0.0</v>
      </c>
      <c r="Z4" s="1">
        <v>21.82705718</v>
      </c>
      <c r="AA4" s="1">
        <v>0.0</v>
      </c>
      <c r="AB4" s="1"/>
      <c r="AC4" s="1">
        <v>100.0</v>
      </c>
      <c r="AD4" s="1">
        <v>0.0</v>
      </c>
      <c r="AE4" s="1">
        <v>0.0</v>
      </c>
      <c r="AF4" s="1">
        <v>0.0</v>
      </c>
      <c r="AG4" s="1"/>
      <c r="AH4" s="1" t="s">
        <v>6</v>
      </c>
      <c r="AI4" s="1">
        <f>MIN(U2:U214)</f>
        <v>0</v>
      </c>
      <c r="AJ4" s="1">
        <f>MAX(U2:U214)</f>
        <v>33.53911377</v>
      </c>
      <c r="AK4" s="1">
        <f>QUARTILE(U2:U214, 1)</f>
        <v>0.03390622265</v>
      </c>
      <c r="AL4" s="1">
        <f>QUARTILE(U2:U214, 3)</f>
        <v>5.279309922</v>
      </c>
      <c r="AM4" s="1"/>
      <c r="AN4" s="1"/>
      <c r="AO4" s="1"/>
      <c r="AP4" s="1">
        <v>0.0</v>
      </c>
      <c r="AQ4" s="1">
        <v>3.48300004</v>
      </c>
      <c r="AR4" s="1">
        <v>78.50799561</v>
      </c>
      <c r="AS4" s="5">
        <v>95.3089274</v>
      </c>
      <c r="AT4" s="5">
        <v>0.0</v>
      </c>
      <c r="AU4" s="5">
        <v>4.691072596</v>
      </c>
      <c r="AV4" s="5">
        <v>0.0</v>
      </c>
    </row>
    <row r="5">
      <c r="A5" s="1" t="s">
        <v>22</v>
      </c>
      <c r="B5" s="1">
        <v>0.0</v>
      </c>
      <c r="C5" s="1">
        <v>4.999000072</v>
      </c>
      <c r="D5" s="1">
        <f t="shared" si="4"/>
        <v>1000000</v>
      </c>
      <c r="E5" s="2">
        <f t="shared" si="1"/>
        <v>90.88500023</v>
      </c>
      <c r="F5" s="1">
        <v>9.114999771</v>
      </c>
      <c r="G5" s="4">
        <f t="shared" si="2"/>
        <v>0.4556588451</v>
      </c>
      <c r="R5" s="5">
        <v>98.07748262</v>
      </c>
      <c r="S5" s="5">
        <f t="shared" si="3"/>
        <v>98</v>
      </c>
      <c r="T5" s="5">
        <v>0.0</v>
      </c>
      <c r="U5" s="5">
        <v>1.922517378</v>
      </c>
      <c r="V5" s="5">
        <v>0.0</v>
      </c>
      <c r="W5" s="5"/>
      <c r="X5" s="1" t="s">
        <v>19</v>
      </c>
      <c r="Y5" s="1" t="s">
        <v>19</v>
      </c>
      <c r="Z5" s="1" t="s">
        <v>19</v>
      </c>
      <c r="AA5" s="1" t="s">
        <v>19</v>
      </c>
      <c r="AB5" s="1"/>
      <c r="AC5" s="1" t="s">
        <v>19</v>
      </c>
      <c r="AD5" s="1" t="s">
        <v>19</v>
      </c>
      <c r="AE5" s="1" t="s">
        <v>19</v>
      </c>
      <c r="AF5" s="1" t="s">
        <v>19</v>
      </c>
      <c r="AG5" s="1"/>
      <c r="AH5" s="1" t="s">
        <v>7</v>
      </c>
      <c r="AI5" s="1">
        <f>MIN(V2:V214)</f>
        <v>0</v>
      </c>
      <c r="AJ5" s="1">
        <f>MAX(V2:V214)</f>
        <v>30.36979308</v>
      </c>
      <c r="AK5" s="1">
        <f>QUARTILE(V2:V214, 1)</f>
        <v>0</v>
      </c>
      <c r="AL5" s="1">
        <f>QUARTILE(V2:V214, 3)</f>
        <v>1.878301993</v>
      </c>
      <c r="AM5" s="1"/>
      <c r="AN5" s="1"/>
      <c r="AO5" s="1"/>
      <c r="AP5" s="1">
        <v>0.0</v>
      </c>
      <c r="AQ5" s="1">
        <v>4.999000072</v>
      </c>
      <c r="AR5" s="1">
        <v>9.114999771</v>
      </c>
      <c r="AS5" s="5">
        <v>98.07748262</v>
      </c>
      <c r="AT5" s="5">
        <v>0.0</v>
      </c>
      <c r="AU5" s="5">
        <v>1.922517378</v>
      </c>
      <c r="AV5" s="5">
        <v>0.0</v>
      </c>
    </row>
    <row r="6">
      <c r="A6" s="1" t="s">
        <v>23</v>
      </c>
      <c r="B6" s="1">
        <v>0.0</v>
      </c>
      <c r="C6" s="1">
        <v>5.795000076</v>
      </c>
      <c r="D6" s="1">
        <f t="shared" si="4"/>
        <v>1000000</v>
      </c>
      <c r="E6" s="2">
        <f t="shared" si="1"/>
        <v>10.03800201</v>
      </c>
      <c r="F6" s="1">
        <v>89.96199799</v>
      </c>
      <c r="G6" s="4">
        <f t="shared" si="2"/>
        <v>5.213297852</v>
      </c>
      <c r="R6" s="5">
        <v>91.4</v>
      </c>
      <c r="S6" s="5">
        <f t="shared" si="3"/>
        <v>91</v>
      </c>
      <c r="T6" s="5">
        <v>0.0</v>
      </c>
      <c r="U6" s="5">
        <v>8.6</v>
      </c>
      <c r="V6" s="5">
        <v>0.0</v>
      </c>
      <c r="W6" s="5"/>
      <c r="X6" s="1" t="s">
        <v>19</v>
      </c>
      <c r="Y6" s="1" t="s">
        <v>19</v>
      </c>
      <c r="Z6" s="1" t="s">
        <v>19</v>
      </c>
      <c r="AA6" s="1" t="s">
        <v>19</v>
      </c>
      <c r="AB6" s="1"/>
      <c r="AC6" s="1" t="s">
        <v>19</v>
      </c>
      <c r="AD6" s="1" t="s">
        <v>19</v>
      </c>
      <c r="AE6" s="1" t="s">
        <v>19</v>
      </c>
      <c r="AF6" s="1" t="s">
        <v>19</v>
      </c>
      <c r="AG6" s="1"/>
      <c r="AH6" s="1" t="s">
        <v>8</v>
      </c>
      <c r="AI6" s="1">
        <f>MIN(X2:X214)</f>
        <v>21.98279234</v>
      </c>
      <c r="AJ6" s="1">
        <f>MAX(X2:X214)</f>
        <v>100</v>
      </c>
      <c r="AK6" s="1">
        <f>QUARTILE(X2:X214, 1)</f>
        <v>64.8254211</v>
      </c>
      <c r="AL6" s="1">
        <f>QUARTILE(X2:X214, 3)</f>
        <v>99.11924249</v>
      </c>
      <c r="AM6" s="1"/>
      <c r="AN6" s="1"/>
      <c r="AO6" s="1"/>
      <c r="AP6" s="1">
        <v>0.0</v>
      </c>
      <c r="AQ6" s="1">
        <v>5.795000076</v>
      </c>
      <c r="AR6" s="1">
        <v>89.96199799</v>
      </c>
      <c r="AS6" s="5">
        <v>91.4</v>
      </c>
      <c r="AT6" s="5">
        <v>0.0</v>
      </c>
      <c r="AU6" s="5">
        <v>8.6</v>
      </c>
      <c r="AV6" s="5">
        <v>0.0</v>
      </c>
    </row>
    <row r="7">
      <c r="A7" s="1" t="s">
        <v>24</v>
      </c>
      <c r="B7" s="1">
        <v>0.0</v>
      </c>
      <c r="C7" s="1">
        <v>6.071000099</v>
      </c>
      <c r="D7" s="1">
        <f t="shared" si="4"/>
        <v>1000000</v>
      </c>
      <c r="E7" s="2">
        <f t="shared" si="1"/>
        <v>59.91799927</v>
      </c>
      <c r="F7" s="1">
        <v>40.08200073</v>
      </c>
      <c r="G7" s="4">
        <f t="shared" si="2"/>
        <v>2.433378304</v>
      </c>
      <c r="R7" s="5">
        <v>99.1</v>
      </c>
      <c r="S7" s="5">
        <f t="shared" si="3"/>
        <v>99</v>
      </c>
      <c r="T7" s="5">
        <v>0.0</v>
      </c>
      <c r="U7" s="5">
        <v>0.9</v>
      </c>
      <c r="V7" s="5">
        <v>0.0</v>
      </c>
      <c r="W7" s="5"/>
      <c r="X7" s="1" t="s">
        <v>19</v>
      </c>
      <c r="Y7" s="1" t="s">
        <v>19</v>
      </c>
      <c r="Z7" s="1" t="s">
        <v>19</v>
      </c>
      <c r="AA7" s="1" t="s">
        <v>19</v>
      </c>
      <c r="AB7" s="1"/>
      <c r="AC7" s="1" t="s">
        <v>19</v>
      </c>
      <c r="AD7" s="1" t="s">
        <v>19</v>
      </c>
      <c r="AE7" s="1" t="s">
        <v>19</v>
      </c>
      <c r="AF7" s="1" t="s">
        <v>19</v>
      </c>
      <c r="AG7" s="1"/>
      <c r="AH7" s="1" t="s">
        <v>9</v>
      </c>
      <c r="AI7" s="1">
        <f>MIN(Y2:Y214)</f>
        <v>0</v>
      </c>
      <c r="AJ7" s="1">
        <f>MAX(Y2:Y214)</f>
        <v>42.16438068</v>
      </c>
      <c r="AK7" s="1">
        <f>QUARTILE(Y2:Y214, 1)</f>
        <v>0</v>
      </c>
      <c r="AL7" s="1">
        <f>QUARTILE(Y2:Y214, 3)</f>
        <v>8.553175126</v>
      </c>
      <c r="AM7" s="1"/>
      <c r="AN7" s="1"/>
      <c r="AO7" s="1"/>
      <c r="AP7" s="1">
        <v>0.0</v>
      </c>
      <c r="AQ7" s="1">
        <v>6.071000099</v>
      </c>
      <c r="AR7" s="1">
        <v>40.08200073</v>
      </c>
      <c r="AS7" s="5">
        <v>99.1</v>
      </c>
      <c r="AT7" s="5">
        <v>0.0</v>
      </c>
      <c r="AU7" s="5">
        <v>0.9</v>
      </c>
      <c r="AV7" s="5">
        <v>0.0</v>
      </c>
    </row>
    <row r="8">
      <c r="A8" s="1" t="s">
        <v>25</v>
      </c>
      <c r="B8" s="1">
        <v>0.0</v>
      </c>
      <c r="C8" s="1">
        <v>9.885</v>
      </c>
      <c r="D8" s="1">
        <f t="shared" si="4"/>
        <v>1000000</v>
      </c>
      <c r="E8" s="2">
        <f t="shared" si="1"/>
        <v>0</v>
      </c>
      <c r="F8" s="1">
        <v>100.0</v>
      </c>
      <c r="G8" s="4">
        <f t="shared" si="2"/>
        <v>9.885</v>
      </c>
      <c r="R8" s="5">
        <v>100.0</v>
      </c>
      <c r="S8" s="5">
        <f t="shared" si="3"/>
        <v>100</v>
      </c>
      <c r="T8" s="5">
        <v>0.0</v>
      </c>
      <c r="U8" s="5">
        <v>0.0</v>
      </c>
      <c r="V8" s="5">
        <v>0.0</v>
      </c>
      <c r="W8" s="5"/>
      <c r="X8" s="1" t="s">
        <v>19</v>
      </c>
      <c r="Y8" s="1" t="s">
        <v>19</v>
      </c>
      <c r="Z8" s="1" t="s">
        <v>19</v>
      </c>
      <c r="AA8" s="1" t="s">
        <v>19</v>
      </c>
      <c r="AB8" s="1"/>
      <c r="AC8" s="1">
        <v>100.0</v>
      </c>
      <c r="AD8" s="1">
        <v>0.0</v>
      </c>
      <c r="AE8" s="1">
        <v>0.0</v>
      </c>
      <c r="AF8" s="1">
        <v>0.0</v>
      </c>
      <c r="AG8" s="1"/>
      <c r="AH8" s="1" t="s">
        <v>10</v>
      </c>
      <c r="AI8" s="1">
        <f>MIN(Z2:Z214)</f>
        <v>0</v>
      </c>
      <c r="AJ8" s="1">
        <f>MAX(Z2:Z214)</f>
        <v>51.21598167</v>
      </c>
      <c r="AK8" s="1">
        <f>QUARTILE(Z2:Z214, 1)</f>
        <v>0.1584109169</v>
      </c>
      <c r="AL8" s="1">
        <f>QUARTILE(Z2:Z214, 3)</f>
        <v>13.2663393</v>
      </c>
      <c r="AM8" s="1"/>
      <c r="AN8" s="1"/>
      <c r="AO8" s="1"/>
      <c r="AP8" s="1">
        <v>0.0</v>
      </c>
      <c r="AQ8" s="1">
        <v>9.885</v>
      </c>
      <c r="AR8" s="1">
        <v>100.0</v>
      </c>
      <c r="AS8" s="5">
        <v>100.0</v>
      </c>
      <c r="AT8" s="5">
        <v>0.0</v>
      </c>
      <c r="AU8" s="5">
        <v>0.0</v>
      </c>
      <c r="AV8" s="5">
        <v>0.0</v>
      </c>
    </row>
    <row r="9">
      <c r="A9" s="1" t="s">
        <v>26</v>
      </c>
      <c r="B9" s="1">
        <v>4.0</v>
      </c>
      <c r="C9" s="1">
        <v>10.83399963</v>
      </c>
      <c r="D9" s="1">
        <f t="shared" si="4"/>
        <v>1000000</v>
      </c>
      <c r="E9" s="2">
        <f t="shared" si="1"/>
        <v>0</v>
      </c>
      <c r="F9" s="1">
        <v>100.0</v>
      </c>
      <c r="G9" s="4">
        <f t="shared" si="2"/>
        <v>10.83399963</v>
      </c>
      <c r="R9" s="5">
        <v>100.0</v>
      </c>
      <c r="S9" s="5">
        <f t="shared" si="3"/>
        <v>100</v>
      </c>
      <c r="T9" s="5">
        <v>0.0</v>
      </c>
      <c r="U9" s="5">
        <v>0.0</v>
      </c>
      <c r="V9" s="5">
        <v>0.0</v>
      </c>
      <c r="W9" s="5"/>
      <c r="X9" s="1" t="s">
        <v>19</v>
      </c>
      <c r="Y9" s="1" t="s">
        <v>19</v>
      </c>
      <c r="Z9" s="1" t="s">
        <v>19</v>
      </c>
      <c r="AA9" s="1" t="s">
        <v>19</v>
      </c>
      <c r="AB9" s="1"/>
      <c r="AC9" s="1">
        <v>100.0</v>
      </c>
      <c r="AD9" s="1">
        <v>0.0</v>
      </c>
      <c r="AE9" s="1">
        <v>0.0</v>
      </c>
      <c r="AF9" s="1">
        <v>0.0</v>
      </c>
      <c r="AG9" s="1"/>
      <c r="AH9" s="1" t="s">
        <v>11</v>
      </c>
      <c r="AI9" s="1">
        <f>MIN(AA2:AA214)</f>
        <v>0</v>
      </c>
      <c r="AJ9" s="1">
        <f>MAX(AA2:AA214)</f>
        <v>40.51813242</v>
      </c>
      <c r="AK9" s="1">
        <f>QUARTILE(AA2:AA214, 1)</f>
        <v>0</v>
      </c>
      <c r="AL9" s="1">
        <f>QUARTILE(AA2:AA214, 3)</f>
        <v>6.157471481</v>
      </c>
      <c r="AM9" s="1"/>
      <c r="AN9" s="1"/>
      <c r="AO9" s="1"/>
      <c r="AP9" s="1">
        <v>4.0</v>
      </c>
      <c r="AQ9" s="1">
        <v>10.83399963</v>
      </c>
      <c r="AR9" s="1">
        <v>100.0</v>
      </c>
      <c r="AS9" s="5">
        <v>100.0</v>
      </c>
      <c r="AT9" s="5">
        <v>0.0</v>
      </c>
      <c r="AU9" s="5">
        <v>0.0</v>
      </c>
      <c r="AV9" s="5">
        <v>0.0</v>
      </c>
    </row>
    <row r="10">
      <c r="A10" s="1" t="s">
        <v>27</v>
      </c>
      <c r="B10" s="1">
        <v>0.0</v>
      </c>
      <c r="C10" s="1">
        <v>11.24600029</v>
      </c>
      <c r="D10" s="1">
        <f t="shared" si="4"/>
        <v>1000000</v>
      </c>
      <c r="E10" s="2">
        <f t="shared" si="1"/>
        <v>100</v>
      </c>
      <c r="F10" s="1">
        <v>0.0</v>
      </c>
      <c r="G10" s="4">
        <f t="shared" si="2"/>
        <v>0</v>
      </c>
      <c r="R10" s="5">
        <v>99.14328736</v>
      </c>
      <c r="S10" s="5">
        <f t="shared" si="3"/>
        <v>99</v>
      </c>
      <c r="T10" s="5">
        <v>0.0</v>
      </c>
      <c r="U10" s="5">
        <v>0.856712639</v>
      </c>
      <c r="V10" s="5">
        <v>0.0</v>
      </c>
      <c r="W10" s="5"/>
      <c r="X10" s="1">
        <v>99.14328736</v>
      </c>
      <c r="Y10" s="1">
        <v>0.0</v>
      </c>
      <c r="Z10" s="1">
        <v>0.856712639</v>
      </c>
      <c r="AA10" s="1">
        <v>0.0</v>
      </c>
      <c r="AB10" s="1"/>
      <c r="AC10" s="1" t="s">
        <v>19</v>
      </c>
      <c r="AD10" s="1" t="s">
        <v>19</v>
      </c>
      <c r="AE10" s="1" t="s">
        <v>19</v>
      </c>
      <c r="AF10" s="1" t="s">
        <v>19</v>
      </c>
      <c r="AG10" s="1"/>
      <c r="AH10" s="1" t="s">
        <v>12</v>
      </c>
      <c r="AI10" s="1">
        <f>MIN(AC2:AC214)</f>
        <v>49.66166495</v>
      </c>
      <c r="AJ10" s="1">
        <f>MAX(AC2:AC214)</f>
        <v>100</v>
      </c>
      <c r="AK10" s="1">
        <f>QUARTILE(AC2:AC214, 1)</f>
        <v>92.56287752</v>
      </c>
      <c r="AL10" s="1">
        <f>QUARTILE(AC2:AC214, 3)</f>
        <v>99.94941803</v>
      </c>
      <c r="AM10" s="1"/>
      <c r="AN10" s="1"/>
      <c r="AO10" s="1"/>
      <c r="AP10" s="1">
        <v>0.0</v>
      </c>
      <c r="AQ10" s="1">
        <v>11.24600029</v>
      </c>
      <c r="AR10" s="1">
        <v>0.0</v>
      </c>
      <c r="AS10" s="5">
        <v>99.14328736</v>
      </c>
      <c r="AT10" s="5">
        <v>0.0</v>
      </c>
      <c r="AU10" s="5">
        <v>0.856712639</v>
      </c>
      <c r="AV10" s="5">
        <v>0.0</v>
      </c>
    </row>
    <row r="11">
      <c r="A11" s="1" t="s">
        <v>28</v>
      </c>
      <c r="B11" s="1">
        <v>3.0</v>
      </c>
      <c r="C11" s="1">
        <v>11.79199982</v>
      </c>
      <c r="D11" s="1">
        <f t="shared" si="4"/>
        <v>1000000</v>
      </c>
      <c r="E11" s="2">
        <f t="shared" si="1"/>
        <v>35.98600006</v>
      </c>
      <c r="F11" s="1">
        <v>64.01399994</v>
      </c>
      <c r="G11" s="4">
        <f t="shared" si="2"/>
        <v>7.548530758</v>
      </c>
      <c r="R11" s="5">
        <v>100.0</v>
      </c>
      <c r="S11" s="5">
        <f t="shared" si="3"/>
        <v>100</v>
      </c>
      <c r="T11" s="5">
        <v>0.0</v>
      </c>
      <c r="U11" s="5">
        <v>0.0</v>
      </c>
      <c r="V11" s="5">
        <v>0.0</v>
      </c>
      <c r="W11" s="5"/>
      <c r="X11" s="1">
        <v>100.0</v>
      </c>
      <c r="Y11" s="1">
        <v>0.0</v>
      </c>
      <c r="Z11" s="1">
        <v>0.0</v>
      </c>
      <c r="AA11" s="1">
        <v>0.0</v>
      </c>
      <c r="AB11" s="1"/>
      <c r="AC11" s="1">
        <v>100.0</v>
      </c>
      <c r="AD11" s="1">
        <v>0.0</v>
      </c>
      <c r="AE11" s="1">
        <v>0.0</v>
      </c>
      <c r="AF11" s="1">
        <v>0.0</v>
      </c>
      <c r="AG11" s="1"/>
      <c r="AH11" s="1" t="s">
        <v>13</v>
      </c>
      <c r="AI11" s="1">
        <f>MIN(AD2:AD214)</f>
        <v>0</v>
      </c>
      <c r="AJ11" s="1">
        <f>MAX(AD2:AD214)</f>
        <v>34.27978009</v>
      </c>
      <c r="AK11" s="1">
        <f>QUARTILE(AD2:AD214, 1)</f>
        <v>0</v>
      </c>
      <c r="AL11" s="1">
        <f>QUARTILE(AD2:AD214, 3)</f>
        <v>3.966347184</v>
      </c>
      <c r="AM11" s="1"/>
      <c r="AN11" s="1"/>
      <c r="AO11" s="1"/>
      <c r="AP11" s="1">
        <v>3.0</v>
      </c>
      <c r="AQ11" s="1">
        <v>11.79199982</v>
      </c>
      <c r="AR11" s="1">
        <v>64.01399994</v>
      </c>
      <c r="AS11" s="5">
        <v>100.0</v>
      </c>
      <c r="AT11" s="5">
        <v>0.0</v>
      </c>
      <c r="AU11" s="5">
        <v>0.0</v>
      </c>
      <c r="AV11" s="5">
        <v>0.0</v>
      </c>
    </row>
    <row r="12">
      <c r="A12" s="1" t="s">
        <v>29</v>
      </c>
      <c r="B12" s="1">
        <v>0.0</v>
      </c>
      <c r="C12" s="1">
        <v>17.56399918</v>
      </c>
      <c r="D12" s="1">
        <f t="shared" si="4"/>
        <v>1000000</v>
      </c>
      <c r="E12" s="2">
        <f t="shared" si="1"/>
        <v>24.50499725</v>
      </c>
      <c r="F12" s="1">
        <v>75.49500275</v>
      </c>
      <c r="G12" s="4">
        <f t="shared" si="2"/>
        <v>13.25994166</v>
      </c>
      <c r="R12" s="5">
        <v>99.97161022</v>
      </c>
      <c r="S12" s="5">
        <f t="shared" si="3"/>
        <v>100</v>
      </c>
      <c r="T12" s="5">
        <v>0.0</v>
      </c>
      <c r="U12" s="5">
        <v>0.0283897827</v>
      </c>
      <c r="V12" s="5">
        <v>0.0</v>
      </c>
      <c r="W12" s="5"/>
      <c r="X12" s="1" t="s">
        <v>19</v>
      </c>
      <c r="Y12" s="1" t="s">
        <v>19</v>
      </c>
      <c r="Z12" s="1" t="s">
        <v>19</v>
      </c>
      <c r="AA12" s="1" t="s">
        <v>19</v>
      </c>
      <c r="AB12" s="1"/>
      <c r="AC12" s="1" t="s">
        <v>19</v>
      </c>
      <c r="AD12" s="1" t="s">
        <v>19</v>
      </c>
      <c r="AE12" s="1" t="s">
        <v>19</v>
      </c>
      <c r="AF12" s="1" t="s">
        <v>19</v>
      </c>
      <c r="AG12" s="1"/>
      <c r="AH12" s="1" t="s">
        <v>14</v>
      </c>
      <c r="AI12" s="1">
        <f>MIN(AE2:AE214)</f>
        <v>0</v>
      </c>
      <c r="AJ12" s="1">
        <f>MAX(AE2:AE214)</f>
        <v>19.83580681</v>
      </c>
      <c r="AK12" s="1">
        <f>QUARTILE(AE2:AE214, 1)</f>
        <v>0</v>
      </c>
      <c r="AL12" s="1">
        <f>QUARTILE(AE2:AE214, 3)</f>
        <v>2.059001302</v>
      </c>
      <c r="AM12" s="1"/>
      <c r="AN12" s="1"/>
      <c r="AO12" s="1"/>
      <c r="AP12" s="1">
        <v>0.0</v>
      </c>
      <c r="AQ12" s="1">
        <v>17.56399918</v>
      </c>
      <c r="AR12" s="1">
        <v>75.49500275</v>
      </c>
      <c r="AS12" s="5">
        <v>99.97161022</v>
      </c>
      <c r="AT12" s="5">
        <v>0.0</v>
      </c>
      <c r="AU12" s="5">
        <v>0.0283897827</v>
      </c>
      <c r="AV12" s="5">
        <v>0.0</v>
      </c>
    </row>
    <row r="13">
      <c r="A13" s="1" t="s">
        <v>30</v>
      </c>
      <c r="B13" s="1">
        <v>3.0</v>
      </c>
      <c r="C13" s="1">
        <v>18.09199905</v>
      </c>
      <c r="D13" s="1">
        <f t="shared" si="4"/>
        <v>1000000</v>
      </c>
      <c r="E13" s="2">
        <f t="shared" si="1"/>
        <v>19.01200104</v>
      </c>
      <c r="F13" s="1">
        <v>80.98799896</v>
      </c>
      <c r="G13" s="4">
        <f t="shared" si="2"/>
        <v>14.652348</v>
      </c>
      <c r="R13" s="5">
        <v>99.6575455</v>
      </c>
      <c r="S13" s="5">
        <f t="shared" si="3"/>
        <v>100</v>
      </c>
      <c r="T13" s="5">
        <v>0.0</v>
      </c>
      <c r="U13" s="5">
        <v>0.3424544984</v>
      </c>
      <c r="V13" s="5">
        <v>0.0</v>
      </c>
      <c r="W13" s="5"/>
      <c r="X13" s="1">
        <v>99.75698503</v>
      </c>
      <c r="Y13" s="1">
        <v>0.0</v>
      </c>
      <c r="Z13" s="1">
        <v>0.2430149677</v>
      </c>
      <c r="AA13" s="1">
        <v>0.0</v>
      </c>
      <c r="AB13" s="1"/>
      <c r="AC13" s="1">
        <v>99.63420199</v>
      </c>
      <c r="AD13" s="1">
        <v>0.0</v>
      </c>
      <c r="AE13" s="1">
        <v>0.3657980078</v>
      </c>
      <c r="AF13" s="1">
        <v>0.0</v>
      </c>
      <c r="AG13" s="1"/>
      <c r="AH13" s="1" t="s">
        <v>15</v>
      </c>
      <c r="AI13" s="1">
        <f>MIN(AF2:AF214)</f>
        <v>0</v>
      </c>
      <c r="AJ13" s="1">
        <f>MAX(AF2:AF214)</f>
        <v>6.362160532</v>
      </c>
      <c r="AK13" s="1">
        <f>QUARTILE(AF2:AF214, 1)</f>
        <v>0</v>
      </c>
      <c r="AL13" s="1">
        <f>QUARTILE(AF2:AF214, 3)</f>
        <v>0.1597056849</v>
      </c>
      <c r="AM13" s="1"/>
      <c r="AN13" s="1"/>
      <c r="AO13" s="1"/>
      <c r="AP13" s="1">
        <v>3.0</v>
      </c>
      <c r="AQ13" s="1">
        <v>18.09199905</v>
      </c>
      <c r="AR13" s="1">
        <v>80.98799896</v>
      </c>
      <c r="AS13" s="5">
        <v>99.6575455</v>
      </c>
      <c r="AT13" s="5">
        <v>0.0</v>
      </c>
      <c r="AU13" s="5">
        <v>0.3424544984</v>
      </c>
      <c r="AV13" s="5">
        <v>0.0</v>
      </c>
    </row>
    <row r="14">
      <c r="A14" s="1" t="s">
        <v>31</v>
      </c>
      <c r="B14" s="1">
        <v>4.0</v>
      </c>
      <c r="C14" s="1">
        <v>30.23699951</v>
      </c>
      <c r="D14" s="1">
        <f t="shared" si="4"/>
        <v>1000000</v>
      </c>
      <c r="E14" s="2">
        <f t="shared" si="1"/>
        <v>51.48500061</v>
      </c>
      <c r="F14" s="1">
        <v>48.51499939</v>
      </c>
      <c r="G14" s="4">
        <f t="shared" si="2"/>
        <v>14.66948013</v>
      </c>
      <c r="R14" s="5">
        <v>99.86438356</v>
      </c>
      <c r="S14" s="5">
        <f t="shared" si="3"/>
        <v>100</v>
      </c>
      <c r="T14" s="5">
        <v>0.0</v>
      </c>
      <c r="U14" s="5">
        <v>0.1356164384</v>
      </c>
      <c r="V14" s="5">
        <v>0.0</v>
      </c>
      <c r="W14" s="5"/>
      <c r="X14" s="1" t="s">
        <v>19</v>
      </c>
      <c r="Y14" s="1" t="s">
        <v>19</v>
      </c>
      <c r="Z14" s="1" t="s">
        <v>19</v>
      </c>
      <c r="AA14" s="1" t="s">
        <v>19</v>
      </c>
      <c r="AB14" s="1"/>
      <c r="AC14" s="1" t="s">
        <v>19</v>
      </c>
      <c r="AD14" s="1" t="s">
        <v>19</v>
      </c>
      <c r="AE14" s="1" t="s">
        <v>19</v>
      </c>
      <c r="AF14" s="1" t="s">
        <v>19</v>
      </c>
      <c r="AG14" s="1"/>
      <c r="AH14" s="1"/>
      <c r="AI14" s="1"/>
      <c r="AJ14" s="1"/>
      <c r="AK14" s="1"/>
      <c r="AL14" s="1"/>
      <c r="AM14" s="1"/>
      <c r="AN14" s="1"/>
      <c r="AO14" s="1"/>
      <c r="AP14" s="1">
        <v>4.0</v>
      </c>
      <c r="AQ14" s="1">
        <v>30.23699951</v>
      </c>
      <c r="AR14" s="1">
        <v>48.51499939</v>
      </c>
      <c r="AS14" s="5">
        <v>99.86438356</v>
      </c>
      <c r="AT14" s="5">
        <v>0.0</v>
      </c>
      <c r="AU14" s="5">
        <v>0.1356164384</v>
      </c>
      <c r="AV14" s="5">
        <v>0.0</v>
      </c>
    </row>
    <row r="15">
      <c r="A15" s="1" t="s">
        <v>32</v>
      </c>
      <c r="B15" s="1">
        <v>4.0</v>
      </c>
      <c r="C15" s="1">
        <v>33.69100189</v>
      </c>
      <c r="D15" s="1">
        <f t="shared" si="4"/>
        <v>1000000</v>
      </c>
      <c r="E15" s="2">
        <f t="shared" si="1"/>
        <v>0</v>
      </c>
      <c r="F15" s="1">
        <v>100.0</v>
      </c>
      <c r="G15" s="4">
        <f t="shared" si="2"/>
        <v>33.69100189</v>
      </c>
      <c r="R15" s="5">
        <v>100.0</v>
      </c>
      <c r="S15" s="5">
        <f t="shared" si="3"/>
        <v>100</v>
      </c>
      <c r="T15" s="5">
        <v>0.0</v>
      </c>
      <c r="U15" s="5">
        <v>0.0</v>
      </c>
      <c r="V15" s="5">
        <v>0.0</v>
      </c>
      <c r="W15" s="5"/>
      <c r="X15" s="1" t="s">
        <v>19</v>
      </c>
      <c r="Y15" s="1" t="s">
        <v>19</v>
      </c>
      <c r="Z15" s="1" t="s">
        <v>19</v>
      </c>
      <c r="AA15" s="1" t="s">
        <v>19</v>
      </c>
      <c r="AB15" s="1"/>
      <c r="AC15" s="1">
        <v>100.0</v>
      </c>
      <c r="AD15" s="1">
        <v>0.0</v>
      </c>
      <c r="AE15" s="1">
        <v>0.0</v>
      </c>
      <c r="AF15" s="1">
        <v>0.0</v>
      </c>
      <c r="AG15" s="1"/>
      <c r="AH15" s="1"/>
      <c r="AI15" s="1"/>
      <c r="AJ15" s="1"/>
      <c r="AK15" s="1"/>
      <c r="AL15" s="1"/>
      <c r="AM15" s="1"/>
      <c r="AN15" s="1"/>
      <c r="AO15" s="1"/>
      <c r="AP15" s="1">
        <v>4.0</v>
      </c>
      <c r="AQ15" s="1">
        <v>33.69100189</v>
      </c>
      <c r="AR15" s="1">
        <v>100.0</v>
      </c>
      <c r="AS15" s="5">
        <v>100.0</v>
      </c>
      <c r="AT15" s="5">
        <v>0.0</v>
      </c>
      <c r="AU15" s="5">
        <v>0.0</v>
      </c>
      <c r="AV15" s="5">
        <v>0.0</v>
      </c>
    </row>
    <row r="16">
      <c r="A16" s="1" t="s">
        <v>33</v>
      </c>
      <c r="B16" s="1">
        <v>4.0</v>
      </c>
      <c r="C16" s="1">
        <v>33.93799973</v>
      </c>
      <c r="D16" s="1">
        <f t="shared" si="4"/>
        <v>1000000</v>
      </c>
      <c r="E16" s="2">
        <f t="shared" si="1"/>
        <v>2.50099945</v>
      </c>
      <c r="F16" s="1">
        <v>97.49900055</v>
      </c>
      <c r="G16" s="4">
        <f t="shared" si="2"/>
        <v>33.08921054</v>
      </c>
      <c r="R16" s="5">
        <v>100.0</v>
      </c>
      <c r="S16" s="5">
        <f t="shared" si="3"/>
        <v>100</v>
      </c>
      <c r="T16" s="5">
        <v>0.0</v>
      </c>
      <c r="U16" s="5">
        <v>0.0</v>
      </c>
      <c r="V16" s="5">
        <v>0.0</v>
      </c>
      <c r="W16" s="5"/>
      <c r="X16" s="1" t="s">
        <v>19</v>
      </c>
      <c r="Y16" s="1" t="s">
        <v>19</v>
      </c>
      <c r="Z16" s="1" t="s">
        <v>19</v>
      </c>
      <c r="AA16" s="1" t="s">
        <v>19</v>
      </c>
      <c r="AB16" s="1"/>
      <c r="AC16" s="1" t="s">
        <v>19</v>
      </c>
      <c r="AD16" s="1" t="s">
        <v>19</v>
      </c>
      <c r="AE16" s="1" t="s">
        <v>19</v>
      </c>
      <c r="AF16" s="1" t="s">
        <v>19</v>
      </c>
      <c r="AG16" s="1"/>
      <c r="AH16" s="1"/>
      <c r="AI16" s="1"/>
      <c r="AJ16" s="1"/>
      <c r="AK16" s="1"/>
      <c r="AL16" s="1"/>
      <c r="AM16" s="1"/>
      <c r="AN16" s="1"/>
      <c r="AO16" s="1"/>
      <c r="AP16" s="1">
        <v>4.0</v>
      </c>
      <c r="AQ16" s="1">
        <v>33.93799973</v>
      </c>
      <c r="AR16" s="1">
        <v>97.49900055</v>
      </c>
      <c r="AS16" s="5">
        <v>100.0</v>
      </c>
      <c r="AT16" s="5">
        <v>0.0</v>
      </c>
      <c r="AU16" s="5">
        <v>0.0</v>
      </c>
      <c r="AV16" s="5">
        <v>0.0</v>
      </c>
    </row>
    <row r="17">
      <c r="A17" s="1" t="s">
        <v>34</v>
      </c>
      <c r="B17" s="1">
        <v>4.0</v>
      </c>
      <c r="C17" s="1">
        <v>38.13700104</v>
      </c>
      <c r="D17" s="1">
        <f t="shared" si="4"/>
        <v>1000000</v>
      </c>
      <c r="E17" s="2">
        <f t="shared" si="1"/>
        <v>85.58399963</v>
      </c>
      <c r="F17" s="1">
        <v>14.41600037</v>
      </c>
      <c r="G17" s="4">
        <f t="shared" si="2"/>
        <v>5.497830211</v>
      </c>
      <c r="J17" s="6"/>
      <c r="R17" s="5">
        <v>100.0</v>
      </c>
      <c r="S17" s="5">
        <f t="shared" si="3"/>
        <v>100</v>
      </c>
      <c r="T17" s="5">
        <v>0.0</v>
      </c>
      <c r="U17" s="5">
        <v>0.0</v>
      </c>
      <c r="V17" s="5">
        <v>0.0</v>
      </c>
      <c r="W17" s="5"/>
      <c r="X17" s="1" t="s">
        <v>19</v>
      </c>
      <c r="Y17" s="1" t="s">
        <v>19</v>
      </c>
      <c r="Z17" s="1" t="s">
        <v>19</v>
      </c>
      <c r="AA17" s="1" t="s">
        <v>19</v>
      </c>
      <c r="AB17" s="1"/>
      <c r="AC17" s="1" t="s">
        <v>19</v>
      </c>
      <c r="AD17" s="1" t="s">
        <v>19</v>
      </c>
      <c r="AE17" s="1" t="s">
        <v>19</v>
      </c>
      <c r="AF17" s="1" t="s">
        <v>19</v>
      </c>
      <c r="AG17" s="1"/>
      <c r="AH17" s="1"/>
      <c r="AI17" s="1"/>
      <c r="AJ17" s="1"/>
      <c r="AK17" s="1"/>
      <c r="AL17" s="1"/>
      <c r="AM17" s="1"/>
      <c r="AN17" s="1"/>
      <c r="AO17" s="1"/>
      <c r="AP17" s="1">
        <v>4.0</v>
      </c>
      <c r="AQ17" s="1">
        <v>38.13700104</v>
      </c>
      <c r="AR17" s="1">
        <v>14.41600037</v>
      </c>
      <c r="AS17" s="5">
        <v>100.0</v>
      </c>
      <c r="AT17" s="5">
        <v>0.0</v>
      </c>
      <c r="AU17" s="5">
        <v>0.0</v>
      </c>
      <c r="AV17" s="5">
        <v>0.0</v>
      </c>
    </row>
    <row r="18">
      <c r="A18" s="1" t="s">
        <v>35</v>
      </c>
      <c r="B18" s="1">
        <v>4.0</v>
      </c>
      <c r="C18" s="1">
        <v>38.659</v>
      </c>
      <c r="D18" s="1">
        <f t="shared" si="4"/>
        <v>1000000</v>
      </c>
      <c r="E18" s="2">
        <f t="shared" si="1"/>
        <v>0</v>
      </c>
      <c r="F18" s="1">
        <v>100.0</v>
      </c>
      <c r="G18" s="4">
        <f t="shared" si="2"/>
        <v>38.659</v>
      </c>
      <c r="R18" s="5">
        <v>99.99927139</v>
      </c>
      <c r="S18" s="5">
        <f t="shared" si="3"/>
        <v>100</v>
      </c>
      <c r="T18" s="5">
        <v>0.0</v>
      </c>
      <c r="U18" s="5">
        <v>7.286105507E-4</v>
      </c>
      <c r="V18" s="5">
        <v>0.0</v>
      </c>
      <c r="W18" s="5"/>
      <c r="X18" s="1" t="s">
        <v>19</v>
      </c>
      <c r="Y18" s="1" t="s">
        <v>19</v>
      </c>
      <c r="Z18" s="1" t="s">
        <v>19</v>
      </c>
      <c r="AA18" s="1" t="s">
        <v>19</v>
      </c>
      <c r="AB18" s="1"/>
      <c r="AC18" s="1">
        <v>99.99927139</v>
      </c>
      <c r="AD18" s="1">
        <v>0.0</v>
      </c>
      <c r="AE18" s="1">
        <v>7.286105507E-4</v>
      </c>
      <c r="AF18" s="1">
        <v>0.0</v>
      </c>
      <c r="AG18" s="1"/>
      <c r="AH18" s="1"/>
      <c r="AI18" s="1"/>
      <c r="AJ18" s="1"/>
      <c r="AK18" s="1"/>
      <c r="AL18" s="1"/>
      <c r="AM18" s="1"/>
      <c r="AN18" s="1"/>
      <c r="AO18" s="1"/>
      <c r="AP18" s="1">
        <v>4.0</v>
      </c>
      <c r="AQ18" s="1">
        <v>38.659</v>
      </c>
      <c r="AR18" s="1">
        <v>100.0</v>
      </c>
      <c r="AS18" s="5">
        <v>99.99927139</v>
      </c>
      <c r="AT18" s="5">
        <v>0.0</v>
      </c>
      <c r="AU18" s="5">
        <v>7.286105507E-4</v>
      </c>
      <c r="AV18" s="5">
        <v>0.0</v>
      </c>
    </row>
    <row r="19">
      <c r="A19" s="1" t="s">
        <v>36</v>
      </c>
      <c r="B19" s="1">
        <v>4.0</v>
      </c>
      <c r="C19" s="1">
        <v>39.24399948</v>
      </c>
      <c r="D19" s="1">
        <f t="shared" si="4"/>
        <v>1000000</v>
      </c>
      <c r="E19" s="2">
        <f t="shared" si="1"/>
        <v>0</v>
      </c>
      <c r="F19" s="1">
        <v>100.0</v>
      </c>
      <c r="G19" s="4">
        <f t="shared" si="2"/>
        <v>39.24399948</v>
      </c>
      <c r="R19" s="5">
        <v>100.0</v>
      </c>
      <c r="S19" s="5">
        <f t="shared" si="3"/>
        <v>100</v>
      </c>
      <c r="T19" s="5">
        <v>0.0</v>
      </c>
      <c r="U19" s="5">
        <v>0.0</v>
      </c>
      <c r="V19" s="5">
        <v>0.0</v>
      </c>
      <c r="W19" s="5"/>
      <c r="X19" s="1" t="s">
        <v>19</v>
      </c>
      <c r="Y19" s="1" t="s">
        <v>19</v>
      </c>
      <c r="Z19" s="1" t="s">
        <v>19</v>
      </c>
      <c r="AA19" s="1" t="s">
        <v>19</v>
      </c>
      <c r="AB19" s="1"/>
      <c r="AC19" s="1">
        <v>100.0</v>
      </c>
      <c r="AD19" s="1">
        <v>0.0</v>
      </c>
      <c r="AE19" s="1">
        <v>0.0</v>
      </c>
      <c r="AF19" s="1">
        <v>0.0</v>
      </c>
      <c r="AG19" s="1"/>
      <c r="AH19" s="1"/>
      <c r="AI19" s="1"/>
      <c r="AJ19" s="1"/>
      <c r="AK19" s="1"/>
      <c r="AL19" s="1"/>
      <c r="AM19" s="1"/>
      <c r="AN19" s="1"/>
      <c r="AO19" s="1"/>
      <c r="AP19" s="1">
        <v>4.0</v>
      </c>
      <c r="AQ19" s="1">
        <v>39.24399948</v>
      </c>
      <c r="AR19" s="1">
        <v>100.0</v>
      </c>
      <c r="AS19" s="5">
        <v>100.0</v>
      </c>
      <c r="AT19" s="5">
        <v>0.0</v>
      </c>
      <c r="AU19" s="5">
        <v>0.0</v>
      </c>
      <c r="AV19" s="5">
        <v>0.0</v>
      </c>
    </row>
    <row r="20">
      <c r="A20" s="1" t="s">
        <v>37</v>
      </c>
      <c r="B20" s="1">
        <v>4.0</v>
      </c>
      <c r="C20" s="1">
        <v>48.86500168</v>
      </c>
      <c r="D20" s="1">
        <f t="shared" si="4"/>
        <v>1000000</v>
      </c>
      <c r="E20" s="2">
        <f t="shared" si="1"/>
        <v>57.60200119</v>
      </c>
      <c r="F20" s="1">
        <v>42.39799881</v>
      </c>
      <c r="G20" s="4">
        <f t="shared" si="2"/>
        <v>20.71778283</v>
      </c>
      <c r="R20" s="5">
        <v>100.0</v>
      </c>
      <c r="S20" s="5">
        <f t="shared" si="3"/>
        <v>100</v>
      </c>
      <c r="T20" s="5">
        <v>0.0</v>
      </c>
      <c r="U20" s="5">
        <v>0.0</v>
      </c>
      <c r="V20" s="5">
        <v>0.0</v>
      </c>
      <c r="W20" s="5"/>
      <c r="X20" s="1" t="s">
        <v>19</v>
      </c>
      <c r="Y20" s="1" t="s">
        <v>19</v>
      </c>
      <c r="Z20" s="1" t="s">
        <v>19</v>
      </c>
      <c r="AA20" s="1" t="s">
        <v>19</v>
      </c>
      <c r="AB20" s="1"/>
      <c r="AC20" s="1" t="s">
        <v>19</v>
      </c>
      <c r="AD20" s="1" t="s">
        <v>19</v>
      </c>
      <c r="AE20" s="1" t="s">
        <v>19</v>
      </c>
      <c r="AF20" s="1" t="s">
        <v>19</v>
      </c>
      <c r="AG20" s="1"/>
      <c r="AH20" s="1"/>
      <c r="AI20" s="1"/>
      <c r="AJ20" s="1"/>
      <c r="AK20" s="1"/>
      <c r="AL20" s="1"/>
      <c r="AM20" s="1"/>
      <c r="AN20" s="1"/>
      <c r="AO20" s="1"/>
      <c r="AP20" s="1">
        <v>4.0</v>
      </c>
      <c r="AQ20" s="1">
        <v>48.86500168</v>
      </c>
      <c r="AR20" s="1">
        <v>42.39799881</v>
      </c>
      <c r="AS20" s="5">
        <v>100.0</v>
      </c>
      <c r="AT20" s="5">
        <v>0.0</v>
      </c>
      <c r="AU20" s="5">
        <v>0.0</v>
      </c>
      <c r="AV20" s="5">
        <v>0.0</v>
      </c>
    </row>
    <row r="21">
      <c r="A21" s="1" t="s">
        <v>38</v>
      </c>
      <c r="B21" s="1">
        <v>3.0</v>
      </c>
      <c r="C21" s="1">
        <v>55.1969986</v>
      </c>
      <c r="D21" s="1">
        <f t="shared" si="4"/>
        <v>1000000</v>
      </c>
      <c r="E21" s="2">
        <f t="shared" si="1"/>
        <v>12.84700012</v>
      </c>
      <c r="F21" s="1">
        <v>87.15299988</v>
      </c>
      <c r="G21" s="4">
        <f t="shared" si="2"/>
        <v>48.10584012</v>
      </c>
      <c r="R21" s="5">
        <v>99.77377166</v>
      </c>
      <c r="S21" s="5">
        <f t="shared" si="3"/>
        <v>100</v>
      </c>
      <c r="T21" s="5">
        <v>0.0</v>
      </c>
      <c r="U21" s="5">
        <v>0.2262283415</v>
      </c>
      <c r="V21" s="5">
        <v>0.0</v>
      </c>
      <c r="W21" s="5"/>
      <c r="X21" s="1" t="s">
        <v>19</v>
      </c>
      <c r="Y21" s="1" t="s">
        <v>19</v>
      </c>
      <c r="Z21" s="1" t="s">
        <v>19</v>
      </c>
      <c r="AA21" s="1" t="s">
        <v>19</v>
      </c>
      <c r="AB21" s="1"/>
      <c r="AC21" s="1" t="s">
        <v>19</v>
      </c>
      <c r="AD21" s="1" t="s">
        <v>19</v>
      </c>
      <c r="AE21" s="1" t="s">
        <v>19</v>
      </c>
      <c r="AF21" s="1" t="s">
        <v>19</v>
      </c>
      <c r="AG21" s="1"/>
      <c r="AH21" s="1"/>
      <c r="AI21" s="1"/>
      <c r="AJ21" s="1"/>
      <c r="AK21" s="1"/>
      <c r="AL21" s="1"/>
      <c r="AM21" s="1"/>
      <c r="AN21" s="1"/>
      <c r="AO21" s="1"/>
      <c r="AP21" s="1">
        <v>3.0</v>
      </c>
      <c r="AQ21" s="1">
        <v>55.1969986</v>
      </c>
      <c r="AR21" s="1">
        <v>87.15299988</v>
      </c>
      <c r="AS21" s="5">
        <v>99.77377166</v>
      </c>
      <c r="AT21" s="5">
        <v>0.0</v>
      </c>
      <c r="AU21" s="5">
        <v>0.2262283415</v>
      </c>
      <c r="AV21" s="5">
        <v>0.0</v>
      </c>
    </row>
    <row r="22">
      <c r="A22" s="1" t="s">
        <v>39</v>
      </c>
      <c r="B22" s="1">
        <v>4.0</v>
      </c>
      <c r="C22" s="1">
        <v>56.77199936</v>
      </c>
      <c r="D22" s="1">
        <f t="shared" si="4"/>
        <v>1000000</v>
      </c>
      <c r="E22" s="2">
        <f t="shared" si="1"/>
        <v>12.71799469</v>
      </c>
      <c r="F22" s="1">
        <v>87.28200531</v>
      </c>
      <c r="G22" s="4">
        <f t="shared" si="2"/>
        <v>49.5517395</v>
      </c>
      <c r="R22" s="5">
        <v>100.0000017</v>
      </c>
      <c r="S22" s="5">
        <f t="shared" si="3"/>
        <v>100</v>
      </c>
      <c r="T22" s="5">
        <v>0.0</v>
      </c>
      <c r="U22" s="5">
        <v>0.0</v>
      </c>
      <c r="V22" s="5">
        <v>0.0</v>
      </c>
      <c r="W22" s="5"/>
      <c r="X22" s="1">
        <v>100.0</v>
      </c>
      <c r="Y22" s="1">
        <v>0.0</v>
      </c>
      <c r="Z22" s="1">
        <v>0.0</v>
      </c>
      <c r="AA22" s="1">
        <v>0.0</v>
      </c>
      <c r="AB22" s="1"/>
      <c r="AC22" s="1">
        <v>100.0</v>
      </c>
      <c r="AD22" s="1">
        <v>0.0</v>
      </c>
      <c r="AE22" s="1">
        <v>0.0</v>
      </c>
      <c r="AF22" s="1">
        <v>0.0</v>
      </c>
      <c r="AG22" s="1"/>
      <c r="AH22" s="1"/>
      <c r="AI22" s="1"/>
      <c r="AJ22" s="1"/>
      <c r="AK22" s="1"/>
      <c r="AL22" s="1"/>
      <c r="AM22" s="1"/>
      <c r="AN22" s="1"/>
      <c r="AO22" s="1"/>
      <c r="AP22" s="1">
        <v>4.0</v>
      </c>
      <c r="AQ22" s="1">
        <v>56.77199936</v>
      </c>
      <c r="AR22" s="1">
        <v>87.28200531</v>
      </c>
      <c r="AS22" s="5">
        <v>100.0000017</v>
      </c>
      <c r="AT22" s="5">
        <v>0.0</v>
      </c>
      <c r="AU22" s="5">
        <v>0.0</v>
      </c>
      <c r="AV22" s="5">
        <v>0.0</v>
      </c>
    </row>
    <row r="23">
      <c r="A23" s="1" t="s">
        <v>40</v>
      </c>
      <c r="B23" s="1">
        <v>4.0</v>
      </c>
      <c r="C23" s="1">
        <v>57.55699921</v>
      </c>
      <c r="D23" s="1">
        <f t="shared" si="4"/>
        <v>1000000</v>
      </c>
      <c r="E23" s="2">
        <f t="shared" si="1"/>
        <v>8.20200348</v>
      </c>
      <c r="F23" s="1">
        <v>91.79799652</v>
      </c>
      <c r="G23" s="4">
        <f t="shared" si="2"/>
        <v>52.83617213</v>
      </c>
      <c r="R23" s="5">
        <v>100.0</v>
      </c>
      <c r="S23" s="5">
        <f t="shared" si="3"/>
        <v>100</v>
      </c>
      <c r="T23" s="5">
        <v>0.0</v>
      </c>
      <c r="U23" s="5">
        <v>0.0</v>
      </c>
      <c r="V23" s="5">
        <v>0.0</v>
      </c>
      <c r="W23" s="5"/>
      <c r="X23" s="1" t="s">
        <v>19</v>
      </c>
      <c r="Y23" s="1" t="s">
        <v>19</v>
      </c>
      <c r="Z23" s="1" t="s">
        <v>19</v>
      </c>
      <c r="AA23" s="1" t="s">
        <v>19</v>
      </c>
      <c r="AB23" s="1"/>
      <c r="AC23" s="1" t="s">
        <v>19</v>
      </c>
      <c r="AD23" s="1" t="s">
        <v>19</v>
      </c>
      <c r="AE23" s="1" t="s">
        <v>19</v>
      </c>
      <c r="AF23" s="1" t="s">
        <v>19</v>
      </c>
      <c r="AG23" s="1"/>
      <c r="AH23" s="1"/>
      <c r="AI23" s="1"/>
      <c r="AJ23" s="1"/>
      <c r="AK23" s="1"/>
      <c r="AL23" s="1"/>
      <c r="AM23" s="1"/>
      <c r="AN23" s="1"/>
      <c r="AO23" s="1"/>
      <c r="AP23" s="1">
        <v>4.0</v>
      </c>
      <c r="AQ23" s="1">
        <v>57.55699921</v>
      </c>
      <c r="AR23" s="1">
        <v>91.79799652</v>
      </c>
      <c r="AS23" s="5">
        <v>100.0</v>
      </c>
      <c r="AT23" s="5">
        <v>0.0</v>
      </c>
      <c r="AU23" s="5">
        <v>0.0</v>
      </c>
      <c r="AV23" s="5">
        <v>0.0</v>
      </c>
    </row>
    <row r="24">
      <c r="A24" s="1" t="s">
        <v>41</v>
      </c>
      <c r="B24" s="1">
        <v>3.0</v>
      </c>
      <c r="C24" s="1">
        <v>59.19400024</v>
      </c>
      <c r="D24" s="1">
        <f t="shared" si="4"/>
        <v>1000000</v>
      </c>
      <c r="E24" s="2">
        <f t="shared" si="1"/>
        <v>22.20600891</v>
      </c>
      <c r="F24" s="1">
        <v>77.79399109</v>
      </c>
      <c r="G24" s="4">
        <f t="shared" si="2"/>
        <v>46.04937527</v>
      </c>
      <c r="R24" s="5">
        <v>88.57204698</v>
      </c>
      <c r="S24" s="5">
        <f t="shared" si="3"/>
        <v>89</v>
      </c>
      <c r="T24" s="5">
        <v>11.387979</v>
      </c>
      <c r="U24" s="5">
        <v>0.03997402585</v>
      </c>
      <c r="V24" s="5">
        <v>0.0</v>
      </c>
      <c r="W24" s="5"/>
      <c r="X24" s="1">
        <v>94.42972</v>
      </c>
      <c r="Y24" s="1">
        <v>5.39028</v>
      </c>
      <c r="Z24" s="1">
        <v>0.18</v>
      </c>
      <c r="AA24" s="1">
        <v>0.0</v>
      </c>
      <c r="AB24" s="1"/>
      <c r="AC24" s="1">
        <v>86.9</v>
      </c>
      <c r="AD24" s="1">
        <v>13.1</v>
      </c>
      <c r="AE24" s="1">
        <v>0.0</v>
      </c>
      <c r="AF24" s="1">
        <v>0.0</v>
      </c>
      <c r="AG24" s="1"/>
      <c r="AH24" s="1"/>
      <c r="AI24" s="1"/>
      <c r="AJ24" s="1"/>
      <c r="AK24" s="1"/>
      <c r="AL24" s="1"/>
      <c r="AM24" s="1"/>
      <c r="AN24" s="1"/>
      <c r="AO24" s="1"/>
      <c r="AP24" s="1">
        <v>3.0</v>
      </c>
      <c r="AQ24" s="1">
        <v>59.19400024</v>
      </c>
      <c r="AR24" s="1">
        <v>77.79399109</v>
      </c>
      <c r="AS24" s="5">
        <v>88.57204698</v>
      </c>
      <c r="AT24" s="5">
        <v>11.387979</v>
      </c>
      <c r="AU24" s="5">
        <v>0.03997402585</v>
      </c>
      <c r="AV24" s="5">
        <v>0.0</v>
      </c>
    </row>
    <row r="25">
      <c r="A25" s="1" t="s">
        <v>42</v>
      </c>
      <c r="B25" s="1">
        <v>4.0</v>
      </c>
      <c r="C25" s="1">
        <v>62.27299881</v>
      </c>
      <c r="D25" s="1">
        <f t="shared" si="4"/>
        <v>1000000</v>
      </c>
      <c r="E25" s="2">
        <f t="shared" si="1"/>
        <v>0</v>
      </c>
      <c r="F25" s="1">
        <v>100.0</v>
      </c>
      <c r="G25" s="4">
        <f t="shared" si="2"/>
        <v>62.27299881</v>
      </c>
      <c r="R25" s="5">
        <v>99.90314002</v>
      </c>
      <c r="S25" s="5">
        <f t="shared" si="3"/>
        <v>100</v>
      </c>
      <c r="T25" s="5">
        <v>0.0</v>
      </c>
      <c r="U25" s="5">
        <v>0.09685998294</v>
      </c>
      <c r="V25" s="5">
        <v>0.0</v>
      </c>
      <c r="W25" s="5"/>
      <c r="X25" s="1" t="s">
        <v>19</v>
      </c>
      <c r="Y25" s="1" t="s">
        <v>19</v>
      </c>
      <c r="Z25" s="1" t="s">
        <v>19</v>
      </c>
      <c r="AA25" s="1" t="s">
        <v>19</v>
      </c>
      <c r="AB25" s="1"/>
      <c r="AC25" s="1">
        <v>99.90314002</v>
      </c>
      <c r="AD25" s="1">
        <v>0.0</v>
      </c>
      <c r="AE25" s="1">
        <v>0.09685998294</v>
      </c>
      <c r="AF25" s="1">
        <v>0.0</v>
      </c>
      <c r="AG25" s="1"/>
      <c r="AH25" s="1"/>
      <c r="AI25" s="1"/>
      <c r="AJ25" s="1"/>
      <c r="AK25" s="1"/>
      <c r="AL25" s="1"/>
      <c r="AM25" s="1"/>
      <c r="AN25" s="1"/>
      <c r="AO25" s="1"/>
      <c r="AP25" s="1">
        <v>4.0</v>
      </c>
      <c r="AQ25" s="1">
        <v>62.27299881</v>
      </c>
      <c r="AR25" s="1">
        <v>100.0</v>
      </c>
      <c r="AS25" s="5">
        <v>99.90314002</v>
      </c>
      <c r="AT25" s="5">
        <v>0.0</v>
      </c>
      <c r="AU25" s="5">
        <v>0.09685998294</v>
      </c>
      <c r="AV25" s="5">
        <v>0.0</v>
      </c>
    </row>
    <row r="26">
      <c r="A26" s="1" t="s">
        <v>43</v>
      </c>
      <c r="B26" s="1">
        <v>4.0</v>
      </c>
      <c r="C26" s="1">
        <v>77.26499939</v>
      </c>
      <c r="D26" s="1">
        <f t="shared" si="4"/>
        <v>1000000</v>
      </c>
      <c r="E26" s="2">
        <f t="shared" si="1"/>
        <v>12.08399963</v>
      </c>
      <c r="F26" s="1">
        <v>87.91600037</v>
      </c>
      <c r="G26" s="4">
        <f t="shared" si="2"/>
        <v>67.92829715</v>
      </c>
      <c r="R26" s="5">
        <v>100.0000037</v>
      </c>
      <c r="S26" s="5">
        <f t="shared" si="3"/>
        <v>100</v>
      </c>
      <c r="T26" s="5">
        <v>0.0</v>
      </c>
      <c r="U26" s="5">
        <v>0.0</v>
      </c>
      <c r="V26" s="5">
        <v>0.0</v>
      </c>
      <c r="W26" s="5"/>
      <c r="X26" s="1">
        <v>100.0</v>
      </c>
      <c r="Y26" s="1">
        <v>0.0</v>
      </c>
      <c r="Z26" s="1">
        <v>0.0</v>
      </c>
      <c r="AA26" s="1">
        <v>0.0</v>
      </c>
      <c r="AB26" s="1"/>
      <c r="AC26" s="1">
        <v>100.0</v>
      </c>
      <c r="AD26" s="1">
        <v>0.0</v>
      </c>
      <c r="AE26" s="1">
        <v>0.0</v>
      </c>
      <c r="AF26" s="1">
        <v>0.0</v>
      </c>
      <c r="AG26" s="1"/>
      <c r="AH26" s="1"/>
      <c r="AI26" s="1"/>
      <c r="AJ26" s="1"/>
      <c r="AK26" s="1"/>
      <c r="AL26" s="1"/>
      <c r="AM26" s="1"/>
      <c r="AN26" s="1"/>
      <c r="AO26" s="1"/>
      <c r="AP26" s="1">
        <v>4.0</v>
      </c>
      <c r="AQ26" s="1">
        <v>77.26499939</v>
      </c>
      <c r="AR26" s="1">
        <v>87.91600037</v>
      </c>
      <c r="AS26" s="5">
        <v>100.0000037</v>
      </c>
      <c r="AT26" s="5">
        <v>0.0</v>
      </c>
      <c r="AU26" s="5">
        <v>0.0</v>
      </c>
      <c r="AV26" s="5">
        <v>0.0</v>
      </c>
    </row>
    <row r="27">
      <c r="A27" s="1" t="s">
        <v>44</v>
      </c>
      <c r="B27" s="1">
        <v>4.0</v>
      </c>
      <c r="C27" s="1">
        <v>85.03199768</v>
      </c>
      <c r="D27" s="1">
        <f t="shared" si="4"/>
        <v>1000000</v>
      </c>
      <c r="E27" s="2">
        <f t="shared" si="1"/>
        <v>47.10199738</v>
      </c>
      <c r="F27" s="1">
        <v>52.89800262</v>
      </c>
      <c r="G27" s="4">
        <f t="shared" si="2"/>
        <v>44.98022836</v>
      </c>
      <c r="R27" s="5">
        <v>99.075</v>
      </c>
      <c r="S27" s="5">
        <f t="shared" si="3"/>
        <v>99</v>
      </c>
      <c r="T27" s="5">
        <v>0.0</v>
      </c>
      <c r="U27" s="5">
        <v>0.925</v>
      </c>
      <c r="V27" s="5">
        <v>0.0</v>
      </c>
      <c r="W27" s="5"/>
      <c r="X27" s="1" t="s">
        <v>19</v>
      </c>
      <c r="Y27" s="1" t="s">
        <v>19</v>
      </c>
      <c r="Z27" s="1" t="s">
        <v>19</v>
      </c>
      <c r="AA27" s="1" t="s">
        <v>19</v>
      </c>
      <c r="AB27" s="1"/>
      <c r="AC27" s="1" t="s">
        <v>19</v>
      </c>
      <c r="AD27" s="1" t="s">
        <v>19</v>
      </c>
      <c r="AE27" s="1" t="s">
        <v>19</v>
      </c>
      <c r="AF27" s="1" t="s">
        <v>19</v>
      </c>
      <c r="AG27" s="1"/>
      <c r="AH27" s="1"/>
      <c r="AI27" s="1"/>
      <c r="AJ27" s="1"/>
      <c r="AK27" s="1"/>
      <c r="AL27" s="1"/>
      <c r="AM27" s="1"/>
      <c r="AN27" s="1"/>
      <c r="AO27" s="1"/>
      <c r="AP27" s="1">
        <v>4.0</v>
      </c>
      <c r="AQ27" s="1">
        <v>85.03199768</v>
      </c>
      <c r="AR27" s="1">
        <v>52.89800262</v>
      </c>
      <c r="AS27" s="5">
        <v>99.075</v>
      </c>
      <c r="AT27" s="5">
        <v>0.0</v>
      </c>
      <c r="AU27" s="5">
        <v>0.925</v>
      </c>
      <c r="AV27" s="5">
        <v>0.0</v>
      </c>
    </row>
    <row r="28">
      <c r="A28" s="1" t="s">
        <v>45</v>
      </c>
      <c r="B28" s="1">
        <v>4.0</v>
      </c>
      <c r="C28" s="1">
        <v>104.4229965</v>
      </c>
      <c r="D28" s="1">
        <f t="shared" si="4"/>
        <v>1000000</v>
      </c>
      <c r="E28" s="2">
        <f t="shared" si="1"/>
        <v>4.06099701</v>
      </c>
      <c r="F28" s="1">
        <v>95.93900299</v>
      </c>
      <c r="G28" s="4">
        <f t="shared" si="2"/>
        <v>100.1823817</v>
      </c>
      <c r="R28" s="5">
        <v>98.71826738</v>
      </c>
      <c r="S28" s="5">
        <f t="shared" si="3"/>
        <v>99</v>
      </c>
      <c r="T28" s="5">
        <v>0.0</v>
      </c>
      <c r="U28" s="5">
        <v>1.281732624</v>
      </c>
      <c r="V28" s="5">
        <v>0.0</v>
      </c>
      <c r="W28" s="5"/>
      <c r="X28" s="1" t="s">
        <v>19</v>
      </c>
      <c r="Y28" s="1" t="s">
        <v>19</v>
      </c>
      <c r="Z28" s="1" t="s">
        <v>19</v>
      </c>
      <c r="AA28" s="1" t="s">
        <v>19</v>
      </c>
      <c r="AB28" s="1"/>
      <c r="AC28" s="1" t="s">
        <v>19</v>
      </c>
      <c r="AD28" s="1" t="s">
        <v>19</v>
      </c>
      <c r="AE28" s="1" t="s">
        <v>19</v>
      </c>
      <c r="AF28" s="1" t="s">
        <v>19</v>
      </c>
      <c r="AG28" s="1"/>
      <c r="AH28" s="1"/>
      <c r="AI28" s="1"/>
      <c r="AJ28" s="1"/>
      <c r="AK28" s="1"/>
      <c r="AL28" s="1"/>
      <c r="AM28" s="1"/>
      <c r="AN28" s="1"/>
      <c r="AO28" s="1"/>
      <c r="AP28" s="1">
        <v>4.0</v>
      </c>
      <c r="AQ28" s="1">
        <v>104.4229965</v>
      </c>
      <c r="AR28" s="1">
        <v>95.93900299</v>
      </c>
      <c r="AS28" s="5">
        <v>98.71826738</v>
      </c>
      <c r="AT28" s="5">
        <v>0.0</v>
      </c>
      <c r="AU28" s="5">
        <v>1.281732624</v>
      </c>
      <c r="AV28" s="5">
        <v>0.0</v>
      </c>
    </row>
    <row r="29">
      <c r="A29" s="1" t="s">
        <v>46</v>
      </c>
      <c r="B29" s="1">
        <v>3.0</v>
      </c>
      <c r="C29" s="1">
        <v>105.6969986</v>
      </c>
      <c r="D29" s="1">
        <f t="shared" si="4"/>
        <v>1000000</v>
      </c>
      <c r="E29" s="2">
        <f t="shared" si="1"/>
        <v>76.90100098</v>
      </c>
      <c r="F29" s="1">
        <v>23.09899902</v>
      </c>
      <c r="G29" s="4">
        <f t="shared" si="2"/>
        <v>24.41494867</v>
      </c>
      <c r="R29" s="5">
        <v>98.73108083</v>
      </c>
      <c r="S29" s="5">
        <f t="shared" si="3"/>
        <v>99</v>
      </c>
      <c r="T29" s="5">
        <v>0.8814972962</v>
      </c>
      <c r="U29" s="5">
        <v>0.3874218777</v>
      </c>
      <c r="V29" s="5">
        <v>0.0</v>
      </c>
      <c r="W29" s="5"/>
      <c r="X29" s="1">
        <v>98.46807854</v>
      </c>
      <c r="Y29" s="1">
        <v>1.103159706</v>
      </c>
      <c r="Z29" s="1">
        <v>0.4287617551</v>
      </c>
      <c r="AA29" s="1">
        <v>0.0</v>
      </c>
      <c r="AB29" s="1"/>
      <c r="AC29" s="1">
        <v>99.60665819</v>
      </c>
      <c r="AD29" s="1">
        <v>0.143540536</v>
      </c>
      <c r="AE29" s="1">
        <v>0.2498012758</v>
      </c>
      <c r="AF29" s="1">
        <v>0.0</v>
      </c>
      <c r="AG29" s="1"/>
      <c r="AH29" s="1"/>
      <c r="AI29" s="1"/>
      <c r="AJ29" s="1"/>
      <c r="AK29" s="1"/>
      <c r="AL29" s="1"/>
      <c r="AM29" s="1"/>
      <c r="AN29" s="1"/>
      <c r="AO29" s="1"/>
      <c r="AP29" s="1">
        <v>3.0</v>
      </c>
      <c r="AQ29" s="1">
        <v>105.6969986</v>
      </c>
      <c r="AR29" s="1">
        <v>23.09899902</v>
      </c>
      <c r="AS29" s="5">
        <v>98.73108083</v>
      </c>
      <c r="AT29" s="5">
        <v>0.8814972962</v>
      </c>
      <c r="AU29" s="5">
        <v>0.3874218777</v>
      </c>
      <c r="AV29" s="5">
        <v>0.0</v>
      </c>
    </row>
    <row r="30">
      <c r="A30" s="1" t="s">
        <v>47</v>
      </c>
      <c r="B30" s="1">
        <v>2.0</v>
      </c>
      <c r="C30" s="1">
        <v>119.4459991</v>
      </c>
      <c r="D30" s="1">
        <f t="shared" si="4"/>
        <v>1000000</v>
      </c>
      <c r="E30" s="2">
        <f t="shared" si="1"/>
        <v>44.40600204</v>
      </c>
      <c r="F30" s="1">
        <v>55.59399796</v>
      </c>
      <c r="G30" s="4">
        <f t="shared" si="2"/>
        <v>66.4048063</v>
      </c>
      <c r="R30" s="5">
        <v>77.97092085</v>
      </c>
      <c r="S30" s="5">
        <f t="shared" si="3"/>
        <v>78</v>
      </c>
      <c r="T30" s="5">
        <v>4.076899625</v>
      </c>
      <c r="U30" s="5">
        <v>17.95217953</v>
      </c>
      <c r="V30" s="5">
        <v>0.0</v>
      </c>
      <c r="W30" s="5"/>
      <c r="X30" s="1">
        <v>60.99418489</v>
      </c>
      <c r="Y30" s="1">
        <v>2.096609799</v>
      </c>
      <c r="Z30" s="1">
        <v>36.90920532</v>
      </c>
      <c r="AA30" s="1">
        <v>0.0</v>
      </c>
      <c r="AB30" s="1"/>
      <c r="AC30" s="1">
        <v>91.53117485</v>
      </c>
      <c r="AD30" s="1">
        <v>5.658666461</v>
      </c>
      <c r="AE30" s="1">
        <v>2.810158691</v>
      </c>
      <c r="AF30" s="1">
        <v>0.0</v>
      </c>
      <c r="AG30" s="1"/>
      <c r="AH30" s="1"/>
      <c r="AI30" s="1"/>
      <c r="AJ30" s="1"/>
      <c r="AK30" s="1"/>
      <c r="AL30" s="1"/>
      <c r="AM30" s="1"/>
      <c r="AN30" s="1"/>
      <c r="AO30" s="1"/>
      <c r="AP30" s="1">
        <v>2.0</v>
      </c>
      <c r="AQ30" s="1">
        <v>119.4459991</v>
      </c>
      <c r="AR30" s="1">
        <v>55.59399796</v>
      </c>
      <c r="AS30" s="5">
        <v>77.97092085</v>
      </c>
      <c r="AT30" s="5">
        <v>4.076899625</v>
      </c>
      <c r="AU30" s="5">
        <v>17.95217953</v>
      </c>
      <c r="AV30" s="5">
        <v>0.0</v>
      </c>
    </row>
    <row r="31">
      <c r="A31" s="1" t="s">
        <v>48</v>
      </c>
      <c r="B31" s="1">
        <v>4.0</v>
      </c>
      <c r="C31" s="1">
        <v>168.7830048</v>
      </c>
      <c r="D31" s="1">
        <f t="shared" si="4"/>
        <v>1000000</v>
      </c>
      <c r="E31" s="2">
        <f t="shared" si="1"/>
        <v>5.06199646</v>
      </c>
      <c r="F31" s="1">
        <v>94.93800354</v>
      </c>
      <c r="G31" s="4">
        <f t="shared" si="2"/>
        <v>160.2392151</v>
      </c>
      <c r="R31" s="5">
        <v>99.6952</v>
      </c>
      <c r="S31" s="5">
        <f t="shared" si="3"/>
        <v>100</v>
      </c>
      <c r="T31" s="5">
        <v>0.0</v>
      </c>
      <c r="U31" s="5">
        <v>0.3048</v>
      </c>
      <c r="V31" s="5">
        <v>0.0</v>
      </c>
      <c r="W31" s="5"/>
      <c r="X31" s="1" t="s">
        <v>19</v>
      </c>
      <c r="Y31" s="1" t="s">
        <v>19</v>
      </c>
      <c r="Z31" s="1" t="s">
        <v>19</v>
      </c>
      <c r="AA31" s="1" t="s">
        <v>19</v>
      </c>
      <c r="AB31" s="1"/>
      <c r="AC31" s="1" t="s">
        <v>19</v>
      </c>
      <c r="AD31" s="1" t="s">
        <v>19</v>
      </c>
      <c r="AE31" s="1" t="s">
        <v>19</v>
      </c>
      <c r="AF31" s="1" t="s">
        <v>19</v>
      </c>
      <c r="AG31" s="1"/>
      <c r="AH31" s="1"/>
      <c r="AI31" s="1"/>
      <c r="AJ31" s="1"/>
      <c r="AK31" s="1"/>
      <c r="AL31" s="1"/>
      <c r="AM31" s="1"/>
      <c r="AN31" s="1"/>
      <c r="AO31" s="1"/>
      <c r="AP31" s="1">
        <v>4.0</v>
      </c>
      <c r="AQ31" s="1">
        <v>168.7830048</v>
      </c>
      <c r="AR31" s="1">
        <v>94.93800354</v>
      </c>
      <c r="AS31" s="5">
        <v>99.6952</v>
      </c>
      <c r="AT31" s="5">
        <v>0.0</v>
      </c>
      <c r="AU31" s="5">
        <v>0.3048</v>
      </c>
      <c r="AV31" s="5">
        <v>0.0</v>
      </c>
    </row>
    <row r="32">
      <c r="A32" s="1" t="s">
        <v>49</v>
      </c>
      <c r="B32" s="1">
        <v>3.0</v>
      </c>
      <c r="C32" s="1">
        <v>183.6289978</v>
      </c>
      <c r="D32" s="1">
        <f t="shared" si="4"/>
        <v>1000000</v>
      </c>
      <c r="E32" s="2">
        <f t="shared" si="1"/>
        <v>81.1590004</v>
      </c>
      <c r="F32" s="1">
        <v>18.8409996</v>
      </c>
      <c r="G32" s="4">
        <f t="shared" si="2"/>
        <v>34.59753874</v>
      </c>
      <c r="R32" s="5">
        <v>96.88784457</v>
      </c>
      <c r="S32" s="5">
        <f t="shared" si="3"/>
        <v>97</v>
      </c>
      <c r="T32" s="5">
        <v>1.815652166</v>
      </c>
      <c r="U32" s="5">
        <v>1.296503269</v>
      </c>
      <c r="V32" s="5">
        <v>0.0</v>
      </c>
      <c r="W32" s="5"/>
      <c r="X32" s="1">
        <v>96.81402383</v>
      </c>
      <c r="Y32" s="1">
        <v>1.734152255</v>
      </c>
      <c r="Z32" s="1">
        <v>1.451823918</v>
      </c>
      <c r="AA32" s="1">
        <v>0.0</v>
      </c>
      <c r="AB32" s="1"/>
      <c r="AC32" s="1">
        <v>97.20582219</v>
      </c>
      <c r="AD32" s="1">
        <v>2.166718886</v>
      </c>
      <c r="AE32" s="1">
        <v>0.6274589237</v>
      </c>
      <c r="AF32" s="1">
        <v>0.0</v>
      </c>
      <c r="AG32" s="1"/>
      <c r="AH32" s="1"/>
      <c r="AI32" s="1"/>
      <c r="AJ32" s="1"/>
      <c r="AK32" s="1"/>
      <c r="AL32" s="1"/>
      <c r="AM32" s="1"/>
      <c r="AN32" s="1"/>
      <c r="AO32" s="1"/>
      <c r="AP32" s="1">
        <v>3.0</v>
      </c>
      <c r="AQ32" s="1">
        <v>183.6289978</v>
      </c>
      <c r="AR32" s="1">
        <v>18.8409996</v>
      </c>
      <c r="AS32" s="5">
        <v>96.88784457</v>
      </c>
      <c r="AT32" s="5">
        <v>1.815652166</v>
      </c>
      <c r="AU32" s="5">
        <v>1.296503269</v>
      </c>
      <c r="AV32" s="5">
        <v>0.0</v>
      </c>
    </row>
    <row r="33">
      <c r="A33" s="1" t="s">
        <v>50</v>
      </c>
      <c r="B33" s="1">
        <v>2.0</v>
      </c>
      <c r="C33" s="1">
        <v>198.4100037</v>
      </c>
      <c r="D33" s="1">
        <f t="shared" si="4"/>
        <v>1000000</v>
      </c>
      <c r="E33" s="2">
        <f t="shared" si="1"/>
        <v>82.11100006</v>
      </c>
      <c r="F33" s="1">
        <v>17.88899994</v>
      </c>
      <c r="G33" s="4">
        <f t="shared" si="2"/>
        <v>35.49356544</v>
      </c>
      <c r="R33" s="5">
        <v>91.83772455</v>
      </c>
      <c r="S33" s="5">
        <f t="shared" si="3"/>
        <v>92</v>
      </c>
      <c r="T33" s="5">
        <v>6.520899952</v>
      </c>
      <c r="U33" s="5">
        <v>1.418623428</v>
      </c>
      <c r="V33" s="5">
        <v>0.2227520679</v>
      </c>
      <c r="W33" s="5"/>
      <c r="X33" s="1">
        <v>91.78032287</v>
      </c>
      <c r="Y33" s="1">
        <v>6.220703339</v>
      </c>
      <c r="Z33" s="1">
        <v>1.72769216</v>
      </c>
      <c r="AA33" s="1">
        <v>0.2712816327</v>
      </c>
      <c r="AB33" s="1"/>
      <c r="AC33" s="1">
        <v>92.10119</v>
      </c>
      <c r="AD33" s="1">
        <v>7.89881</v>
      </c>
      <c r="AE33" s="1">
        <v>0.0</v>
      </c>
      <c r="AF33" s="1">
        <v>0.0</v>
      </c>
      <c r="AG33" s="1"/>
      <c r="AH33" s="1"/>
      <c r="AI33" s="1"/>
      <c r="AJ33" s="1"/>
      <c r="AK33" s="1"/>
      <c r="AL33" s="1"/>
      <c r="AM33" s="1"/>
      <c r="AN33" s="1"/>
      <c r="AO33" s="1"/>
      <c r="AP33" s="1">
        <v>2.0</v>
      </c>
      <c r="AQ33" s="1">
        <v>198.4100037</v>
      </c>
      <c r="AR33" s="1">
        <v>17.88899994</v>
      </c>
      <c r="AS33" s="5">
        <v>91.83772455</v>
      </c>
      <c r="AT33" s="5">
        <v>6.520899952</v>
      </c>
      <c r="AU33" s="5">
        <v>1.418623428</v>
      </c>
      <c r="AV33" s="5">
        <v>0.2227520679</v>
      </c>
    </row>
    <row r="34">
      <c r="A34" s="1" t="s">
        <v>51</v>
      </c>
      <c r="B34" s="1">
        <v>2.0</v>
      </c>
      <c r="C34" s="1">
        <v>219.1609955</v>
      </c>
      <c r="D34" s="1">
        <f t="shared" si="4"/>
        <v>1000000</v>
      </c>
      <c r="E34" s="2">
        <f t="shared" si="1"/>
        <v>25.64599609</v>
      </c>
      <c r="F34" s="1">
        <v>74.35400391</v>
      </c>
      <c r="G34" s="4">
        <f t="shared" si="2"/>
        <v>162.9549752</v>
      </c>
      <c r="R34" s="5">
        <v>78.22645516</v>
      </c>
      <c r="S34" s="5">
        <f t="shared" si="3"/>
        <v>78</v>
      </c>
      <c r="T34" s="5">
        <v>20.23798298</v>
      </c>
      <c r="U34" s="5">
        <v>0.4435199284</v>
      </c>
      <c r="V34" s="5">
        <v>1.09204193</v>
      </c>
      <c r="W34" s="5"/>
      <c r="X34" s="1">
        <v>74.30061449</v>
      </c>
      <c r="Y34" s="1">
        <v>19.71184258</v>
      </c>
      <c r="Z34" s="1">
        <v>1.729405704</v>
      </c>
      <c r="AA34" s="1">
        <v>4.258137228</v>
      </c>
      <c r="AB34" s="1"/>
      <c r="AC34" s="1">
        <v>79.5805429</v>
      </c>
      <c r="AD34" s="1">
        <v>20.4194571</v>
      </c>
      <c r="AE34" s="1">
        <v>0.0</v>
      </c>
      <c r="AF34" s="1">
        <v>0.0</v>
      </c>
      <c r="AG34" s="1"/>
      <c r="AH34" s="1"/>
      <c r="AI34" s="1"/>
      <c r="AJ34" s="1"/>
      <c r="AK34" s="1"/>
      <c r="AL34" s="1"/>
      <c r="AM34" s="1"/>
      <c r="AN34" s="1"/>
      <c r="AO34" s="1"/>
      <c r="AP34" s="1">
        <v>2.0</v>
      </c>
      <c r="AQ34" s="1">
        <v>219.1609955</v>
      </c>
      <c r="AR34" s="1">
        <v>74.35400391</v>
      </c>
      <c r="AS34" s="5">
        <v>78.22645516</v>
      </c>
      <c r="AT34" s="5">
        <v>20.23798298</v>
      </c>
      <c r="AU34" s="5">
        <v>0.4435199284</v>
      </c>
      <c r="AV34" s="5">
        <v>1.09204193</v>
      </c>
    </row>
    <row r="35">
      <c r="A35" s="1" t="s">
        <v>52</v>
      </c>
      <c r="B35" s="1">
        <v>0.0</v>
      </c>
      <c r="C35" s="1">
        <v>272.8129883</v>
      </c>
      <c r="D35" s="1">
        <f t="shared" si="4"/>
        <v>1000000</v>
      </c>
      <c r="E35" s="2">
        <f t="shared" si="1"/>
        <v>54.24900055</v>
      </c>
      <c r="F35" s="1">
        <v>45.75099945</v>
      </c>
      <c r="G35" s="4">
        <f t="shared" si="2"/>
        <v>124.8146688</v>
      </c>
      <c r="R35" s="5">
        <v>96.37117971</v>
      </c>
      <c r="S35" s="5">
        <f t="shared" si="3"/>
        <v>96</v>
      </c>
      <c r="T35" s="5">
        <v>0.0</v>
      </c>
      <c r="U35" s="5">
        <v>3.628820295</v>
      </c>
      <c r="V35" s="7" t="s">
        <v>19</v>
      </c>
      <c r="W35" s="7"/>
      <c r="X35" s="1" t="s">
        <v>19</v>
      </c>
      <c r="Y35" s="1" t="s">
        <v>19</v>
      </c>
      <c r="Z35" s="1" t="s">
        <v>19</v>
      </c>
      <c r="AA35" s="1" t="s">
        <v>19</v>
      </c>
      <c r="AB35" s="1"/>
      <c r="AC35" s="1" t="s">
        <v>19</v>
      </c>
      <c r="AD35" s="1" t="s">
        <v>19</v>
      </c>
      <c r="AE35" s="1" t="s">
        <v>19</v>
      </c>
      <c r="AF35" s="1" t="s">
        <v>19</v>
      </c>
      <c r="AG35" s="1"/>
      <c r="AH35" s="1"/>
      <c r="AI35" s="1"/>
      <c r="AJ35" s="1"/>
      <c r="AK35" s="1"/>
      <c r="AL35" s="1"/>
      <c r="AM35" s="1"/>
      <c r="AN35" s="1"/>
      <c r="AO35" s="1"/>
      <c r="AP35" s="1">
        <v>0.0</v>
      </c>
      <c r="AQ35" s="1">
        <v>272.8129883</v>
      </c>
      <c r="AR35" s="1">
        <v>45.75099945</v>
      </c>
      <c r="AS35" s="5">
        <v>96.37117971</v>
      </c>
      <c r="AT35" s="5">
        <v>0.0</v>
      </c>
      <c r="AU35" s="5">
        <v>3.628820295</v>
      </c>
      <c r="AV35" s="7" t="s">
        <v>19</v>
      </c>
    </row>
    <row r="36">
      <c r="A36" s="1" t="s">
        <v>53</v>
      </c>
      <c r="B36" s="1">
        <v>4.0</v>
      </c>
      <c r="C36" s="1">
        <v>280.9039917</v>
      </c>
      <c r="D36" s="1">
        <f t="shared" si="4"/>
        <v>1000000</v>
      </c>
      <c r="E36" s="2">
        <f t="shared" si="1"/>
        <v>38.02499771</v>
      </c>
      <c r="F36" s="1">
        <v>61.97500229</v>
      </c>
      <c r="G36" s="4">
        <f t="shared" si="2"/>
        <v>174.0902553</v>
      </c>
      <c r="R36" s="5">
        <v>100.0</v>
      </c>
      <c r="S36" s="5">
        <f t="shared" si="3"/>
        <v>100</v>
      </c>
      <c r="T36" s="5">
        <v>0.0</v>
      </c>
      <c r="U36" s="5">
        <v>0.0</v>
      </c>
      <c r="V36" s="5">
        <v>0.0</v>
      </c>
      <c r="W36" s="5"/>
      <c r="X36" s="1" t="s">
        <v>19</v>
      </c>
      <c r="Y36" s="1" t="s">
        <v>19</v>
      </c>
      <c r="Z36" s="1" t="s">
        <v>19</v>
      </c>
      <c r="AA36" s="1" t="s">
        <v>19</v>
      </c>
      <c r="AB36" s="1"/>
      <c r="AC36" s="1" t="s">
        <v>19</v>
      </c>
      <c r="AD36" s="1" t="s">
        <v>19</v>
      </c>
      <c r="AE36" s="1" t="s">
        <v>19</v>
      </c>
      <c r="AF36" s="1" t="s">
        <v>19</v>
      </c>
      <c r="AG36" s="1"/>
      <c r="AH36" s="1"/>
      <c r="AI36" s="1"/>
      <c r="AJ36" s="1"/>
      <c r="AK36" s="1"/>
      <c r="AL36" s="1"/>
      <c r="AM36" s="1"/>
      <c r="AN36" s="1"/>
      <c r="AO36" s="1"/>
      <c r="AP36" s="1">
        <v>4.0</v>
      </c>
      <c r="AQ36" s="1">
        <v>280.9039917</v>
      </c>
      <c r="AR36" s="1">
        <v>61.97500229</v>
      </c>
      <c r="AS36" s="5">
        <v>100.0</v>
      </c>
      <c r="AT36" s="5">
        <v>0.0</v>
      </c>
      <c r="AU36" s="5">
        <v>0.0</v>
      </c>
      <c r="AV36" s="5">
        <v>0.0</v>
      </c>
    </row>
    <row r="37">
      <c r="A37" s="1" t="s">
        <v>54</v>
      </c>
      <c r="B37" s="1">
        <v>4.0</v>
      </c>
      <c r="C37" s="1">
        <v>285.4909973</v>
      </c>
      <c r="D37" s="1">
        <f t="shared" si="4"/>
        <v>1000000</v>
      </c>
      <c r="E37" s="2">
        <f t="shared" si="1"/>
        <v>28.48200226</v>
      </c>
      <c r="F37" s="1">
        <v>71.51799774</v>
      </c>
      <c r="G37" s="4">
        <f t="shared" si="2"/>
        <v>204.177445</v>
      </c>
      <c r="R37" s="5">
        <v>99.30532057</v>
      </c>
      <c r="S37" s="5">
        <f t="shared" si="3"/>
        <v>99</v>
      </c>
      <c r="T37" s="5">
        <v>0.0</v>
      </c>
      <c r="U37" s="5">
        <v>0.6946794278</v>
      </c>
      <c r="V37" s="5">
        <v>0.0</v>
      </c>
      <c r="W37" s="5"/>
      <c r="X37" s="1" t="s">
        <v>19</v>
      </c>
      <c r="Y37" s="1" t="s">
        <v>19</v>
      </c>
      <c r="Z37" s="1" t="s">
        <v>19</v>
      </c>
      <c r="AA37" s="1" t="s">
        <v>19</v>
      </c>
      <c r="AB37" s="1"/>
      <c r="AC37" s="1" t="s">
        <v>19</v>
      </c>
      <c r="AD37" s="1" t="s">
        <v>19</v>
      </c>
      <c r="AE37" s="1" t="s">
        <v>19</v>
      </c>
      <c r="AF37" s="1" t="s">
        <v>19</v>
      </c>
      <c r="AG37" s="1"/>
      <c r="AH37" s="1"/>
      <c r="AI37" s="1"/>
      <c r="AJ37" s="1"/>
      <c r="AK37" s="1"/>
      <c r="AL37" s="1"/>
      <c r="AM37" s="1"/>
      <c r="AN37" s="1"/>
      <c r="AO37" s="1"/>
      <c r="AP37" s="1">
        <v>4.0</v>
      </c>
      <c r="AQ37" s="1">
        <v>285.4909973</v>
      </c>
      <c r="AR37" s="1">
        <v>71.51799774</v>
      </c>
      <c r="AS37" s="5">
        <v>99.30532057</v>
      </c>
      <c r="AT37" s="5">
        <v>0.0</v>
      </c>
      <c r="AU37" s="5">
        <v>0.6946794278</v>
      </c>
      <c r="AV37" s="5">
        <v>0.0</v>
      </c>
    </row>
    <row r="38">
      <c r="A38" s="1" t="s">
        <v>55</v>
      </c>
      <c r="B38" s="1">
        <v>4.0</v>
      </c>
      <c r="C38" s="1">
        <v>287.3710022</v>
      </c>
      <c r="D38" s="1">
        <f t="shared" si="4"/>
        <v>1000000</v>
      </c>
      <c r="E38" s="2">
        <f t="shared" si="1"/>
        <v>68.80900002</v>
      </c>
      <c r="F38" s="1">
        <v>31.19099998</v>
      </c>
      <c r="G38" s="4">
        <f t="shared" si="2"/>
        <v>89.63388924</v>
      </c>
      <c r="R38" s="5">
        <v>98.51445042</v>
      </c>
      <c r="S38" s="5">
        <f t="shared" si="3"/>
        <v>99</v>
      </c>
      <c r="T38" s="5">
        <v>0.2676005761</v>
      </c>
      <c r="U38" s="5">
        <v>1.217949005</v>
      </c>
      <c r="V38" s="5">
        <v>0.0</v>
      </c>
      <c r="W38" s="5"/>
      <c r="X38" s="1" t="s">
        <v>19</v>
      </c>
      <c r="Y38" s="1" t="s">
        <v>19</v>
      </c>
      <c r="Z38" s="1" t="s">
        <v>19</v>
      </c>
      <c r="AA38" s="1" t="s">
        <v>19</v>
      </c>
      <c r="AB38" s="1"/>
      <c r="AC38" s="1" t="s">
        <v>19</v>
      </c>
      <c r="AD38" s="1" t="s">
        <v>19</v>
      </c>
      <c r="AE38" s="1" t="s">
        <v>19</v>
      </c>
      <c r="AF38" s="1" t="s">
        <v>19</v>
      </c>
      <c r="AG38" s="1"/>
      <c r="AH38" s="1"/>
      <c r="AI38" s="1"/>
      <c r="AJ38" s="1"/>
      <c r="AK38" s="1"/>
      <c r="AL38" s="1"/>
      <c r="AM38" s="1"/>
      <c r="AN38" s="1"/>
      <c r="AO38" s="1"/>
      <c r="AP38" s="1">
        <v>4.0</v>
      </c>
      <c r="AQ38" s="1">
        <v>287.3710022</v>
      </c>
      <c r="AR38" s="1">
        <v>31.19099998</v>
      </c>
      <c r="AS38" s="5">
        <v>98.51445042</v>
      </c>
      <c r="AT38" s="5">
        <v>0.2676005761</v>
      </c>
      <c r="AU38" s="5">
        <v>1.217949005</v>
      </c>
      <c r="AV38" s="5">
        <v>0.0</v>
      </c>
    </row>
    <row r="39">
      <c r="A39" s="1" t="s">
        <v>56</v>
      </c>
      <c r="B39" s="1">
        <v>0.0</v>
      </c>
      <c r="C39" s="1">
        <v>298.6820068</v>
      </c>
      <c r="D39" s="1">
        <f t="shared" si="4"/>
        <v>1000000</v>
      </c>
      <c r="E39" s="2">
        <f t="shared" si="1"/>
        <v>14.18000031</v>
      </c>
      <c r="F39" s="1">
        <v>85.81999969</v>
      </c>
      <c r="G39" s="4">
        <f t="shared" si="2"/>
        <v>256.3288973</v>
      </c>
      <c r="R39" s="5">
        <v>93.78221635</v>
      </c>
      <c r="S39" s="5">
        <f t="shared" si="3"/>
        <v>94</v>
      </c>
      <c r="T39" s="5">
        <v>0.0</v>
      </c>
      <c r="U39" s="5">
        <v>6.217783652</v>
      </c>
      <c r="V39" s="5">
        <v>0.0</v>
      </c>
      <c r="W39" s="5"/>
      <c r="X39" s="1" t="s">
        <v>19</v>
      </c>
      <c r="Y39" s="1" t="s">
        <v>19</v>
      </c>
      <c r="Z39" s="1" t="s">
        <v>19</v>
      </c>
      <c r="AA39" s="1" t="s">
        <v>19</v>
      </c>
      <c r="AB39" s="1"/>
      <c r="AC39" s="1" t="s">
        <v>19</v>
      </c>
      <c r="AD39" s="1" t="s">
        <v>19</v>
      </c>
      <c r="AE39" s="1" t="s">
        <v>19</v>
      </c>
      <c r="AF39" s="1" t="s">
        <v>19</v>
      </c>
      <c r="AG39" s="1"/>
      <c r="AH39" s="1"/>
      <c r="AI39" s="1"/>
      <c r="AJ39" s="1"/>
      <c r="AK39" s="1"/>
      <c r="AL39" s="1"/>
      <c r="AM39" s="1"/>
      <c r="AN39" s="1"/>
      <c r="AO39" s="1"/>
      <c r="AP39" s="1">
        <v>0.0</v>
      </c>
      <c r="AQ39" s="1">
        <v>298.6820068</v>
      </c>
      <c r="AR39" s="1">
        <v>85.81999969</v>
      </c>
      <c r="AS39" s="5">
        <v>93.78221635</v>
      </c>
      <c r="AT39" s="5">
        <v>0.0</v>
      </c>
      <c r="AU39" s="5">
        <v>6.217783652</v>
      </c>
      <c r="AV39" s="5">
        <v>0.0</v>
      </c>
    </row>
    <row r="40">
      <c r="A40" s="1" t="s">
        <v>57</v>
      </c>
      <c r="B40" s="1">
        <v>2.0</v>
      </c>
      <c r="C40" s="1">
        <v>307.1499939</v>
      </c>
      <c r="D40" s="1">
        <f t="shared" si="4"/>
        <v>1000000</v>
      </c>
      <c r="E40" s="2">
        <f t="shared" si="1"/>
        <v>74.47499847</v>
      </c>
      <c r="F40" s="1">
        <v>25.52500153</v>
      </c>
      <c r="G40" s="4">
        <f t="shared" si="2"/>
        <v>78.40004064</v>
      </c>
      <c r="R40" s="5">
        <v>91.23119075</v>
      </c>
      <c r="S40" s="5">
        <f t="shared" si="3"/>
        <v>91</v>
      </c>
      <c r="T40" s="5">
        <v>1.06238505</v>
      </c>
      <c r="U40" s="5">
        <v>0.0</v>
      </c>
      <c r="V40" s="5">
        <v>7.706424202</v>
      </c>
      <c r="W40" s="5"/>
      <c r="X40" s="1">
        <v>88.39720123</v>
      </c>
      <c r="Y40" s="1">
        <v>1.255132675</v>
      </c>
      <c r="Z40" s="1">
        <v>0.0</v>
      </c>
      <c r="AA40" s="1">
        <v>10.3476661</v>
      </c>
      <c r="AB40" s="1"/>
      <c r="AC40" s="1">
        <v>99.5</v>
      </c>
      <c r="AD40" s="1">
        <v>0.5</v>
      </c>
      <c r="AE40" s="1">
        <v>0.0</v>
      </c>
      <c r="AF40" s="1">
        <v>0.0</v>
      </c>
      <c r="AG40" s="1"/>
      <c r="AH40" s="1"/>
      <c r="AI40" s="1"/>
      <c r="AJ40" s="1"/>
      <c r="AK40" s="1"/>
      <c r="AL40" s="1"/>
      <c r="AM40" s="1"/>
      <c r="AN40" s="1"/>
      <c r="AO40" s="1"/>
      <c r="AP40" s="1">
        <v>2.0</v>
      </c>
      <c r="AQ40" s="1">
        <v>307.1499939</v>
      </c>
      <c r="AR40" s="1">
        <v>25.52500153</v>
      </c>
      <c r="AS40" s="5">
        <v>91.23119075</v>
      </c>
      <c r="AT40" s="5">
        <v>1.06238505</v>
      </c>
      <c r="AU40" s="5">
        <v>0.0</v>
      </c>
      <c r="AV40" s="5">
        <v>7.706424202</v>
      </c>
    </row>
    <row r="41">
      <c r="A41" s="1" t="s">
        <v>58</v>
      </c>
      <c r="B41" s="1">
        <v>4.0</v>
      </c>
      <c r="C41" s="1">
        <v>341.25</v>
      </c>
      <c r="D41" s="1">
        <f t="shared" si="4"/>
        <v>1000000</v>
      </c>
      <c r="E41" s="2">
        <f t="shared" si="1"/>
        <v>6.102005</v>
      </c>
      <c r="F41" s="1">
        <v>93.897995</v>
      </c>
      <c r="G41" s="4">
        <f t="shared" si="2"/>
        <v>320.4269079</v>
      </c>
      <c r="R41" s="5">
        <v>99.99999721</v>
      </c>
      <c r="S41" s="5">
        <f t="shared" si="3"/>
        <v>100</v>
      </c>
      <c r="T41" s="5">
        <v>0.0</v>
      </c>
      <c r="U41" s="5">
        <v>2.794650015E-6</v>
      </c>
      <c r="V41" s="5">
        <v>0.0</v>
      </c>
      <c r="W41" s="5"/>
      <c r="X41" s="1">
        <v>100.0</v>
      </c>
      <c r="Y41" s="1">
        <v>0.0</v>
      </c>
      <c r="Z41" s="1">
        <v>0.0</v>
      </c>
      <c r="AA41" s="1">
        <v>0.0</v>
      </c>
      <c r="AB41" s="1"/>
      <c r="AC41" s="1">
        <v>100.0</v>
      </c>
      <c r="AD41" s="1">
        <v>0.0</v>
      </c>
      <c r="AE41" s="1">
        <v>0.0</v>
      </c>
      <c r="AF41" s="1">
        <v>0.0</v>
      </c>
      <c r="AG41" s="1"/>
      <c r="AH41" s="1"/>
      <c r="AI41" s="1"/>
      <c r="AJ41" s="1"/>
      <c r="AK41" s="1"/>
      <c r="AL41" s="1"/>
      <c r="AM41" s="1"/>
      <c r="AN41" s="1"/>
      <c r="AO41" s="1"/>
      <c r="AP41" s="1">
        <v>4.0</v>
      </c>
      <c r="AQ41" s="1">
        <v>341.25</v>
      </c>
      <c r="AR41" s="1">
        <v>93.897995</v>
      </c>
      <c r="AS41" s="5">
        <v>99.99999721</v>
      </c>
      <c r="AT41" s="5">
        <v>0.0</v>
      </c>
      <c r="AU41" s="5">
        <v>2.794650015E-6</v>
      </c>
      <c r="AV41" s="5">
        <v>0.0</v>
      </c>
    </row>
    <row r="42">
      <c r="A42" s="1" t="s">
        <v>59</v>
      </c>
      <c r="B42" s="1">
        <v>0.0</v>
      </c>
      <c r="C42" s="1">
        <v>375.2650146</v>
      </c>
      <c r="D42" s="1">
        <f t="shared" si="4"/>
        <v>1000000</v>
      </c>
      <c r="E42" s="2">
        <f t="shared" si="1"/>
        <v>10.86000061</v>
      </c>
      <c r="F42" s="1">
        <v>89.13999939</v>
      </c>
      <c r="G42" s="4">
        <f t="shared" si="2"/>
        <v>334.5112317</v>
      </c>
      <c r="R42" s="5">
        <v>99.84197078</v>
      </c>
      <c r="S42" s="5">
        <f t="shared" si="3"/>
        <v>100</v>
      </c>
      <c r="T42" s="5">
        <v>0.0</v>
      </c>
      <c r="U42" s="5">
        <v>0.1580292158</v>
      </c>
      <c r="V42" s="5">
        <v>0.0</v>
      </c>
      <c r="W42" s="5"/>
      <c r="X42" s="1" t="s">
        <v>19</v>
      </c>
      <c r="Y42" s="1" t="s">
        <v>19</v>
      </c>
      <c r="Z42" s="1" t="s">
        <v>19</v>
      </c>
      <c r="AA42" s="1" t="s">
        <v>19</v>
      </c>
      <c r="AB42" s="1"/>
      <c r="AC42" s="1" t="s">
        <v>19</v>
      </c>
      <c r="AD42" s="1" t="s">
        <v>19</v>
      </c>
      <c r="AE42" s="1" t="s">
        <v>19</v>
      </c>
      <c r="AF42" s="1" t="s">
        <v>19</v>
      </c>
      <c r="AG42" s="1"/>
      <c r="AH42" s="1"/>
      <c r="AI42" s="1"/>
      <c r="AJ42" s="1"/>
      <c r="AK42" s="1"/>
      <c r="AL42" s="1"/>
      <c r="AM42" s="1"/>
      <c r="AN42" s="1"/>
      <c r="AO42" s="1"/>
      <c r="AP42" s="1">
        <v>0.0</v>
      </c>
      <c r="AQ42" s="1">
        <v>375.2650146</v>
      </c>
      <c r="AR42" s="1">
        <v>89.13999939</v>
      </c>
      <c r="AS42" s="5">
        <v>99.84197078</v>
      </c>
      <c r="AT42" s="5">
        <v>0.0</v>
      </c>
      <c r="AU42" s="5">
        <v>0.1580292158</v>
      </c>
      <c r="AV42" s="5">
        <v>0.0</v>
      </c>
    </row>
    <row r="43">
      <c r="A43" s="1" t="s">
        <v>60</v>
      </c>
      <c r="B43" s="1">
        <v>3.0</v>
      </c>
      <c r="C43" s="1">
        <v>397.6210022</v>
      </c>
      <c r="D43" s="1">
        <f t="shared" si="4"/>
        <v>1000000</v>
      </c>
      <c r="E43" s="2">
        <f t="shared" si="1"/>
        <v>53.97499847</v>
      </c>
      <c r="F43" s="1">
        <v>46.02500153</v>
      </c>
      <c r="G43" s="4">
        <f t="shared" si="2"/>
        <v>183.0050723</v>
      </c>
      <c r="R43" s="5">
        <v>98.40195463</v>
      </c>
      <c r="S43" s="5">
        <f t="shared" si="3"/>
        <v>98</v>
      </c>
      <c r="T43" s="5">
        <v>1.249110629</v>
      </c>
      <c r="U43" s="5">
        <v>0.3489347411</v>
      </c>
      <c r="V43" s="5">
        <v>0.0</v>
      </c>
      <c r="W43" s="5"/>
      <c r="X43" s="1">
        <v>97.99520758</v>
      </c>
      <c r="Y43" s="1">
        <v>1.358317682</v>
      </c>
      <c r="Z43" s="1">
        <v>0.6464747393</v>
      </c>
      <c r="AA43" s="1">
        <v>0.0</v>
      </c>
      <c r="AB43" s="1"/>
      <c r="AC43" s="1">
        <v>98.87896</v>
      </c>
      <c r="AD43" s="1">
        <v>1.12104</v>
      </c>
      <c r="AE43" s="1">
        <v>0.0</v>
      </c>
      <c r="AF43" s="1">
        <v>0.0</v>
      </c>
      <c r="AG43" s="1"/>
      <c r="AH43" s="1"/>
      <c r="AI43" s="1"/>
      <c r="AJ43" s="1"/>
      <c r="AK43" s="1"/>
      <c r="AL43" s="1"/>
      <c r="AM43" s="1"/>
      <c r="AN43" s="1"/>
      <c r="AO43" s="1"/>
      <c r="AP43" s="1">
        <v>3.0</v>
      </c>
      <c r="AQ43" s="1">
        <v>397.6210022</v>
      </c>
      <c r="AR43" s="1">
        <v>46.02500153</v>
      </c>
      <c r="AS43" s="5">
        <v>98.40195463</v>
      </c>
      <c r="AT43" s="5">
        <v>1.249110629</v>
      </c>
      <c r="AU43" s="5">
        <v>0.3489347411</v>
      </c>
      <c r="AV43" s="5">
        <v>0.0</v>
      </c>
    </row>
    <row r="44">
      <c r="A44" s="1" t="s">
        <v>61</v>
      </c>
      <c r="B44" s="1">
        <v>0.0</v>
      </c>
      <c r="C44" s="1">
        <v>400.1270142</v>
      </c>
      <c r="D44" s="1">
        <f t="shared" si="4"/>
        <v>1000000</v>
      </c>
      <c r="E44" s="2">
        <f t="shared" si="1"/>
        <v>1.50100708</v>
      </c>
      <c r="F44" s="1">
        <v>98.49899292</v>
      </c>
      <c r="G44" s="4">
        <f t="shared" si="2"/>
        <v>394.1210794</v>
      </c>
      <c r="R44" s="5">
        <v>99.80312604</v>
      </c>
      <c r="S44" s="5">
        <f t="shared" si="3"/>
        <v>100</v>
      </c>
      <c r="T44" s="5">
        <v>0.0</v>
      </c>
      <c r="U44" s="5">
        <v>0.1968739613</v>
      </c>
      <c r="V44" s="5">
        <v>0.0</v>
      </c>
      <c r="W44" s="5"/>
      <c r="X44" s="1" t="s">
        <v>19</v>
      </c>
      <c r="Y44" s="1" t="s">
        <v>19</v>
      </c>
      <c r="Z44" s="1" t="s">
        <v>19</v>
      </c>
      <c r="AA44" s="1" t="s">
        <v>19</v>
      </c>
      <c r="AB44" s="1"/>
      <c r="AC44" s="1" t="s">
        <v>19</v>
      </c>
      <c r="AD44" s="1" t="s">
        <v>19</v>
      </c>
      <c r="AE44" s="1" t="s">
        <v>19</v>
      </c>
      <c r="AF44" s="1" t="s">
        <v>19</v>
      </c>
      <c r="AG44" s="1"/>
      <c r="AH44" s="1"/>
      <c r="AI44" s="1"/>
      <c r="AJ44" s="1"/>
      <c r="AK44" s="1"/>
      <c r="AL44" s="1"/>
      <c r="AM44" s="1"/>
      <c r="AN44" s="1"/>
      <c r="AO44" s="1"/>
      <c r="AP44" s="1">
        <v>0.0</v>
      </c>
      <c r="AQ44" s="1">
        <v>400.1270142</v>
      </c>
      <c r="AR44" s="1">
        <v>98.49899292</v>
      </c>
      <c r="AS44" s="5">
        <v>99.80312604</v>
      </c>
      <c r="AT44" s="5">
        <v>0.0</v>
      </c>
      <c r="AU44" s="5">
        <v>0.1968739613</v>
      </c>
      <c r="AV44" s="5">
        <v>0.0</v>
      </c>
    </row>
    <row r="45">
      <c r="A45" s="1" t="s">
        <v>62</v>
      </c>
      <c r="B45" s="1">
        <v>4.0</v>
      </c>
      <c r="C45" s="1">
        <v>437.4830017</v>
      </c>
      <c r="D45" s="1">
        <f t="shared" si="4"/>
        <v>1000000</v>
      </c>
      <c r="E45" s="2">
        <f t="shared" si="1"/>
        <v>21.74999237</v>
      </c>
      <c r="F45" s="1">
        <v>78.25000763</v>
      </c>
      <c r="G45" s="4">
        <f t="shared" si="2"/>
        <v>342.3304822</v>
      </c>
      <c r="R45" s="5">
        <v>99.9000368</v>
      </c>
      <c r="S45" s="5">
        <f t="shared" si="3"/>
        <v>100</v>
      </c>
      <c r="T45" s="5">
        <v>0.0</v>
      </c>
      <c r="U45" s="5">
        <v>0.09996320036</v>
      </c>
      <c r="V45" s="5">
        <v>0.0</v>
      </c>
      <c r="W45" s="5"/>
      <c r="X45" s="1" t="s">
        <v>19</v>
      </c>
      <c r="Y45" s="1" t="s">
        <v>19</v>
      </c>
      <c r="Z45" s="1" t="s">
        <v>19</v>
      </c>
      <c r="AA45" s="1" t="s">
        <v>19</v>
      </c>
      <c r="AB45" s="1"/>
      <c r="AC45" s="1">
        <v>99.65</v>
      </c>
      <c r="AD45" s="1">
        <v>0.0</v>
      </c>
      <c r="AE45" s="1">
        <v>0.35</v>
      </c>
      <c r="AF45" s="1">
        <v>0.0</v>
      </c>
      <c r="AG45" s="1"/>
      <c r="AH45" s="1"/>
      <c r="AI45" s="1"/>
      <c r="AJ45" s="1"/>
      <c r="AK45" s="1"/>
      <c r="AL45" s="1"/>
      <c r="AM45" s="1"/>
      <c r="AN45" s="1"/>
      <c r="AO45" s="1"/>
      <c r="AP45" s="1">
        <v>4.0</v>
      </c>
      <c r="AQ45" s="1">
        <v>437.4830017</v>
      </c>
      <c r="AR45" s="1">
        <v>78.25000763</v>
      </c>
      <c r="AS45" s="5">
        <v>99.9000368</v>
      </c>
      <c r="AT45" s="5">
        <v>0.0</v>
      </c>
      <c r="AU45" s="5">
        <v>0.09996320036</v>
      </c>
      <c r="AV45" s="5">
        <v>0.0</v>
      </c>
    </row>
    <row r="46">
      <c r="A46" s="1" t="s">
        <v>63</v>
      </c>
      <c r="B46" s="1">
        <v>4.0</v>
      </c>
      <c r="C46" s="1">
        <v>441.5390015</v>
      </c>
      <c r="D46" s="1">
        <f t="shared" si="4"/>
        <v>1000000</v>
      </c>
      <c r="E46" s="2">
        <f t="shared" si="1"/>
        <v>5.2559967</v>
      </c>
      <c r="F46" s="1">
        <v>94.7440033</v>
      </c>
      <c r="G46" s="4">
        <f t="shared" si="2"/>
        <v>418.3317262</v>
      </c>
      <c r="R46" s="5">
        <v>100.0000004</v>
      </c>
      <c r="S46" s="5">
        <f t="shared" si="3"/>
        <v>100</v>
      </c>
      <c r="T46" s="5">
        <v>0.0</v>
      </c>
      <c r="U46" s="5">
        <v>0.0</v>
      </c>
      <c r="V46" s="5">
        <v>0.0</v>
      </c>
      <c r="W46" s="5"/>
      <c r="X46" s="1">
        <v>100.0</v>
      </c>
      <c r="Y46" s="1">
        <v>0.0</v>
      </c>
      <c r="Z46" s="1">
        <v>0.0</v>
      </c>
      <c r="AA46" s="1">
        <v>0.0</v>
      </c>
      <c r="AB46" s="1"/>
      <c r="AC46" s="1">
        <v>100.0</v>
      </c>
      <c r="AD46" s="1">
        <v>0.0</v>
      </c>
      <c r="AE46" s="1">
        <v>0.0</v>
      </c>
      <c r="AF46" s="1">
        <v>0.0</v>
      </c>
      <c r="AG46" s="1"/>
      <c r="AH46" s="1"/>
      <c r="AI46" s="1"/>
      <c r="AJ46" s="1"/>
      <c r="AK46" s="1"/>
      <c r="AL46" s="1"/>
      <c r="AM46" s="1"/>
      <c r="AN46" s="1"/>
      <c r="AO46" s="1"/>
      <c r="AP46" s="1">
        <v>4.0</v>
      </c>
      <c r="AQ46" s="1">
        <v>441.5390015</v>
      </c>
      <c r="AR46" s="1">
        <v>94.7440033</v>
      </c>
      <c r="AS46" s="5">
        <v>100.0000004</v>
      </c>
      <c r="AT46" s="5">
        <v>0.0</v>
      </c>
      <c r="AU46" s="5">
        <v>0.0</v>
      </c>
      <c r="AV46" s="5">
        <v>0.0</v>
      </c>
    </row>
    <row r="47">
      <c r="A47" s="1" t="s">
        <v>64</v>
      </c>
      <c r="B47" s="1">
        <v>3.0</v>
      </c>
      <c r="C47" s="1">
        <v>540.5419922</v>
      </c>
      <c r="D47" s="1">
        <f t="shared" si="4"/>
        <v>1000000</v>
      </c>
      <c r="E47" s="2">
        <f t="shared" si="1"/>
        <v>59.33100128</v>
      </c>
      <c r="F47" s="1">
        <v>40.66899872</v>
      </c>
      <c r="G47" s="4">
        <f t="shared" si="2"/>
        <v>219.8330159</v>
      </c>
      <c r="R47" s="5">
        <v>99.5444386</v>
      </c>
      <c r="S47" s="5">
        <f t="shared" si="3"/>
        <v>100</v>
      </c>
      <c r="T47" s="5">
        <v>0.0480506913</v>
      </c>
      <c r="U47" s="5">
        <v>0.407510705</v>
      </c>
      <c r="V47" s="5">
        <v>0.0</v>
      </c>
      <c r="W47" s="5"/>
      <c r="X47" s="1">
        <v>99.9190125</v>
      </c>
      <c r="Y47" s="1">
        <v>0.0809875</v>
      </c>
      <c r="Z47" s="1">
        <v>0.0</v>
      </c>
      <c r="AA47" s="1">
        <v>0.0</v>
      </c>
      <c r="AB47" s="1"/>
      <c r="AC47" s="1">
        <v>98.99798893</v>
      </c>
      <c r="AD47" s="1">
        <v>0.0</v>
      </c>
      <c r="AE47" s="1">
        <v>1.002011069</v>
      </c>
      <c r="AF47" s="1">
        <v>0.0</v>
      </c>
      <c r="AG47" s="1"/>
      <c r="AH47" s="1"/>
      <c r="AI47" s="1"/>
      <c r="AJ47" s="1"/>
      <c r="AK47" s="1"/>
      <c r="AL47" s="1"/>
      <c r="AM47" s="1"/>
      <c r="AN47" s="1"/>
      <c r="AO47" s="1"/>
      <c r="AP47" s="1">
        <v>3.0</v>
      </c>
      <c r="AQ47" s="1">
        <v>540.5419922</v>
      </c>
      <c r="AR47" s="1">
        <v>40.66899872</v>
      </c>
      <c r="AS47" s="5">
        <v>99.5444386</v>
      </c>
      <c r="AT47" s="5">
        <v>0.0480506913</v>
      </c>
      <c r="AU47" s="5">
        <v>0.407510705</v>
      </c>
      <c r="AV47" s="5">
        <v>0.0</v>
      </c>
    </row>
    <row r="48">
      <c r="A48" s="1" t="s">
        <v>65</v>
      </c>
      <c r="B48" s="1">
        <v>2.0</v>
      </c>
      <c r="C48" s="1">
        <v>555.9879761</v>
      </c>
      <c r="D48" s="1">
        <f t="shared" si="4"/>
        <v>1000000</v>
      </c>
      <c r="E48" s="2">
        <f t="shared" si="1"/>
        <v>33.34799957</v>
      </c>
      <c r="F48" s="1">
        <v>66.65200043</v>
      </c>
      <c r="G48" s="4">
        <f t="shared" si="2"/>
        <v>370.5771082</v>
      </c>
      <c r="R48" s="5">
        <v>88.76960642</v>
      </c>
      <c r="S48" s="5">
        <f t="shared" si="3"/>
        <v>89</v>
      </c>
      <c r="T48" s="5">
        <v>7.904150846</v>
      </c>
      <c r="U48" s="5">
        <v>3.209147716</v>
      </c>
      <c r="V48" s="5">
        <v>0.1170950144</v>
      </c>
      <c r="W48" s="5"/>
      <c r="X48" s="1">
        <v>80.11452544</v>
      </c>
      <c r="Y48" s="1">
        <v>9.911127022</v>
      </c>
      <c r="Z48" s="1">
        <v>9.623217003</v>
      </c>
      <c r="AA48" s="1">
        <v>0.3511305397</v>
      </c>
      <c r="AB48" s="1"/>
      <c r="AC48" s="1">
        <v>93.1</v>
      </c>
      <c r="AD48" s="1">
        <v>6.9</v>
      </c>
      <c r="AE48" s="1">
        <v>0.0</v>
      </c>
      <c r="AF48" s="1">
        <v>0.0</v>
      </c>
      <c r="AG48" s="1"/>
      <c r="AH48" s="1"/>
      <c r="AI48" s="1"/>
      <c r="AJ48" s="1"/>
      <c r="AK48" s="1"/>
      <c r="AL48" s="1"/>
      <c r="AM48" s="1"/>
      <c r="AN48" s="1"/>
      <c r="AO48" s="1"/>
      <c r="AP48" s="1">
        <v>2.0</v>
      </c>
      <c r="AQ48" s="1">
        <v>555.9879761</v>
      </c>
      <c r="AR48" s="1">
        <v>66.65200043</v>
      </c>
      <c r="AS48" s="5">
        <v>88.76960642</v>
      </c>
      <c r="AT48" s="5">
        <v>7.904150846</v>
      </c>
      <c r="AU48" s="5">
        <v>3.209147716</v>
      </c>
      <c r="AV48" s="5">
        <v>0.1170950144</v>
      </c>
    </row>
    <row r="49">
      <c r="A49" s="1" t="s">
        <v>66</v>
      </c>
      <c r="B49" s="1">
        <v>3.0</v>
      </c>
      <c r="C49" s="1">
        <v>586.6339722</v>
      </c>
      <c r="D49" s="1">
        <f t="shared" si="4"/>
        <v>1000000</v>
      </c>
      <c r="E49" s="2">
        <f t="shared" si="1"/>
        <v>33.85099792</v>
      </c>
      <c r="F49" s="1">
        <v>66.14900208</v>
      </c>
      <c r="G49" s="4">
        <f t="shared" si="2"/>
        <v>388.0525185</v>
      </c>
      <c r="R49" s="5">
        <v>97.98963167</v>
      </c>
      <c r="S49" s="5">
        <f t="shared" si="3"/>
        <v>98</v>
      </c>
      <c r="T49" s="5">
        <v>1.067246941</v>
      </c>
      <c r="U49" s="5">
        <v>0.3793365073</v>
      </c>
      <c r="V49" s="5">
        <v>0.563784884</v>
      </c>
      <c r="W49" s="5"/>
      <c r="X49" s="1">
        <v>96.57441263</v>
      </c>
      <c r="Y49" s="1">
        <v>1.60029586</v>
      </c>
      <c r="Z49" s="1">
        <v>0.1598017947</v>
      </c>
      <c r="AA49" s="1">
        <v>1.66548972</v>
      </c>
      <c r="AB49" s="1"/>
      <c r="AC49" s="1">
        <v>98.71385387</v>
      </c>
      <c r="AD49" s="1">
        <v>0.7944652371</v>
      </c>
      <c r="AE49" s="1">
        <v>0.4916808925</v>
      </c>
      <c r="AF49" s="1">
        <v>0.0</v>
      </c>
      <c r="AG49" s="1"/>
      <c r="AH49" s="1"/>
      <c r="AI49" s="1"/>
      <c r="AJ49" s="1"/>
      <c r="AK49" s="1"/>
      <c r="AL49" s="1"/>
      <c r="AM49" s="1"/>
      <c r="AN49" s="1"/>
      <c r="AO49" s="1"/>
      <c r="AP49" s="1">
        <v>3.0</v>
      </c>
      <c r="AQ49" s="1">
        <v>586.6339722</v>
      </c>
      <c r="AR49" s="1">
        <v>66.14900208</v>
      </c>
      <c r="AS49" s="5">
        <v>97.98963167</v>
      </c>
      <c r="AT49" s="5">
        <v>1.067246941</v>
      </c>
      <c r="AU49" s="5">
        <v>0.3793365073</v>
      </c>
      <c r="AV49" s="5">
        <v>0.563784884</v>
      </c>
    </row>
    <row r="50">
      <c r="A50" s="1" t="s">
        <v>67</v>
      </c>
      <c r="B50" s="1">
        <v>4.0</v>
      </c>
      <c r="C50" s="1">
        <v>625.9760132</v>
      </c>
      <c r="D50" s="1">
        <f t="shared" si="4"/>
        <v>1000000</v>
      </c>
      <c r="E50" s="2">
        <f t="shared" si="1"/>
        <v>8.5470047</v>
      </c>
      <c r="F50" s="1">
        <v>91.4529953</v>
      </c>
      <c r="G50" s="4">
        <f t="shared" si="2"/>
        <v>572.4738139</v>
      </c>
      <c r="R50" s="5">
        <v>99.87993254</v>
      </c>
      <c r="S50" s="5">
        <f t="shared" si="3"/>
        <v>100</v>
      </c>
      <c r="T50" s="5">
        <v>0.0</v>
      </c>
      <c r="U50" s="5">
        <v>0.1200674649</v>
      </c>
      <c r="V50" s="5">
        <v>0.0</v>
      </c>
      <c r="W50" s="5"/>
      <c r="X50" s="1">
        <v>98.5952381</v>
      </c>
      <c r="Y50" s="1">
        <v>0.0</v>
      </c>
      <c r="Z50" s="1">
        <v>1.404761905</v>
      </c>
      <c r="AA50" s="1">
        <v>0.0</v>
      </c>
      <c r="AB50" s="1"/>
      <c r="AC50" s="1">
        <v>100.0</v>
      </c>
      <c r="AD50" s="1">
        <v>0.0</v>
      </c>
      <c r="AE50" s="1">
        <v>0.0</v>
      </c>
      <c r="AF50" s="1">
        <v>0.0</v>
      </c>
      <c r="AG50" s="1"/>
      <c r="AH50" s="1"/>
      <c r="AI50" s="1"/>
      <c r="AJ50" s="1"/>
      <c r="AK50" s="1"/>
      <c r="AL50" s="1"/>
      <c r="AM50" s="1"/>
      <c r="AN50" s="1"/>
      <c r="AO50" s="1"/>
      <c r="AP50" s="1">
        <v>4.0</v>
      </c>
      <c r="AQ50" s="1">
        <v>625.9760132</v>
      </c>
      <c r="AR50" s="1">
        <v>91.4529953</v>
      </c>
      <c r="AS50" s="5">
        <v>99.87993254</v>
      </c>
      <c r="AT50" s="5">
        <v>0.0</v>
      </c>
      <c r="AU50" s="5">
        <v>0.1200674649</v>
      </c>
      <c r="AV50" s="5">
        <v>0.0</v>
      </c>
    </row>
    <row r="51">
      <c r="A51" s="1" t="s">
        <v>68</v>
      </c>
      <c r="B51" s="1">
        <v>3.0</v>
      </c>
      <c r="C51" s="1">
        <v>628.0620117</v>
      </c>
      <c r="D51" s="1">
        <f t="shared" si="4"/>
        <v>1000000</v>
      </c>
      <c r="E51" s="2">
        <f t="shared" si="1"/>
        <v>32.51199341</v>
      </c>
      <c r="F51" s="1">
        <v>67.48800659</v>
      </c>
      <c r="G51" s="4">
        <f t="shared" si="2"/>
        <v>423.8665318</v>
      </c>
      <c r="R51" s="5">
        <v>98.85691652</v>
      </c>
      <c r="S51" s="5">
        <f t="shared" si="3"/>
        <v>99</v>
      </c>
      <c r="T51" s="5">
        <v>0.5454788204</v>
      </c>
      <c r="U51" s="5">
        <v>0.592312011</v>
      </c>
      <c r="V51" s="5">
        <v>0.005292650894</v>
      </c>
      <c r="W51" s="5"/>
      <c r="X51" s="1">
        <v>98.16188754</v>
      </c>
      <c r="Y51" s="1">
        <v>0.0</v>
      </c>
      <c r="Z51" s="1">
        <v>1.821833386</v>
      </c>
      <c r="AA51" s="1">
        <v>0.01627906977</v>
      </c>
      <c r="AB51" s="1"/>
      <c r="AC51" s="1">
        <v>99.19173959</v>
      </c>
      <c r="AD51" s="1">
        <v>0.8082604128</v>
      </c>
      <c r="AE51" s="1">
        <v>0.0</v>
      </c>
      <c r="AF51" s="1">
        <v>0.0</v>
      </c>
      <c r="AG51" s="1"/>
      <c r="AH51" s="1"/>
      <c r="AI51" s="1"/>
      <c r="AJ51" s="1"/>
      <c r="AK51" s="1"/>
      <c r="AL51" s="1"/>
      <c r="AM51" s="1"/>
      <c r="AN51" s="1"/>
      <c r="AO51" s="1"/>
      <c r="AP51" s="1">
        <v>3.0</v>
      </c>
      <c r="AQ51" s="1">
        <v>628.0620117</v>
      </c>
      <c r="AR51" s="1">
        <v>67.48800659</v>
      </c>
      <c r="AS51" s="5">
        <v>98.85691652</v>
      </c>
      <c r="AT51" s="5">
        <v>0.5454788204</v>
      </c>
      <c r="AU51" s="5">
        <v>0.592312011</v>
      </c>
      <c r="AV51" s="5">
        <v>0.005292650894</v>
      </c>
    </row>
    <row r="52">
      <c r="A52" s="1" t="s">
        <v>69</v>
      </c>
      <c r="B52" s="1">
        <v>4.0</v>
      </c>
      <c r="C52" s="1">
        <v>649.34198</v>
      </c>
      <c r="D52" s="1">
        <f t="shared" si="4"/>
        <v>1000000</v>
      </c>
      <c r="E52" s="2">
        <f t="shared" si="1"/>
        <v>0</v>
      </c>
      <c r="F52" s="1">
        <v>100.0</v>
      </c>
      <c r="G52" s="4">
        <f t="shared" si="2"/>
        <v>649.34198</v>
      </c>
      <c r="R52" s="5">
        <v>100.0</v>
      </c>
      <c r="S52" s="5">
        <f t="shared" si="3"/>
        <v>100</v>
      </c>
      <c r="T52" s="5">
        <v>0.0</v>
      </c>
      <c r="U52" s="5">
        <v>0.0</v>
      </c>
      <c r="V52" s="5">
        <v>0.0</v>
      </c>
      <c r="W52" s="5"/>
      <c r="X52" s="1" t="s">
        <v>19</v>
      </c>
      <c r="Y52" s="1" t="s">
        <v>19</v>
      </c>
      <c r="Z52" s="1" t="s">
        <v>19</v>
      </c>
      <c r="AA52" s="1" t="s">
        <v>19</v>
      </c>
      <c r="AB52" s="1"/>
      <c r="AC52" s="1">
        <v>100.0</v>
      </c>
      <c r="AD52" s="1">
        <v>0.0</v>
      </c>
      <c r="AE52" s="1">
        <v>0.0</v>
      </c>
      <c r="AF52" s="1">
        <v>0.0</v>
      </c>
      <c r="AG52" s="1"/>
      <c r="AH52" s="1"/>
      <c r="AI52" s="1"/>
      <c r="AJ52" s="1"/>
      <c r="AK52" s="1"/>
      <c r="AL52" s="1"/>
      <c r="AM52" s="1"/>
      <c r="AN52" s="1"/>
      <c r="AO52" s="1"/>
      <c r="AP52" s="1">
        <v>4.0</v>
      </c>
      <c r="AQ52" s="1">
        <v>649.34198</v>
      </c>
      <c r="AR52" s="1">
        <v>100.0</v>
      </c>
      <c r="AS52" s="5">
        <v>100.0</v>
      </c>
      <c r="AT52" s="5">
        <v>0.0</v>
      </c>
      <c r="AU52" s="5">
        <v>0.0</v>
      </c>
      <c r="AV52" s="5">
        <v>0.0</v>
      </c>
    </row>
    <row r="53">
      <c r="A53" s="1" t="s">
        <v>70</v>
      </c>
      <c r="B53" s="1">
        <v>2.0</v>
      </c>
      <c r="C53" s="1">
        <v>686.8779907</v>
      </c>
      <c r="D53" s="1">
        <f t="shared" si="4"/>
        <v>1000000</v>
      </c>
      <c r="E53" s="2">
        <f t="shared" si="1"/>
        <v>75.32999992</v>
      </c>
      <c r="F53" s="1">
        <v>24.67000008</v>
      </c>
      <c r="G53" s="4">
        <f t="shared" si="2"/>
        <v>169.4528009</v>
      </c>
      <c r="R53" s="5">
        <v>67.30102554</v>
      </c>
      <c r="S53" s="5">
        <f t="shared" si="3"/>
        <v>67</v>
      </c>
      <c r="T53" s="5">
        <v>5.79547831</v>
      </c>
      <c r="U53" s="5">
        <v>21.26784313</v>
      </c>
      <c r="V53" s="5">
        <v>5.635653025</v>
      </c>
      <c r="W53" s="5"/>
      <c r="X53" s="1">
        <v>59.40526749</v>
      </c>
      <c r="Y53" s="1">
        <v>6.528523649</v>
      </c>
      <c r="Z53" s="1">
        <v>26.955911</v>
      </c>
      <c r="AA53" s="1">
        <v>7.110297857</v>
      </c>
      <c r="AB53" s="1"/>
      <c r="AC53" s="1">
        <v>91.41077689</v>
      </c>
      <c r="AD53" s="1">
        <v>3.557120425</v>
      </c>
      <c r="AE53" s="1">
        <v>3.899286137</v>
      </c>
      <c r="AF53" s="1">
        <v>1.132816553</v>
      </c>
      <c r="AG53" s="1"/>
      <c r="AH53" s="1"/>
      <c r="AI53" s="1"/>
      <c r="AJ53" s="1"/>
      <c r="AK53" s="1"/>
      <c r="AL53" s="1"/>
      <c r="AM53" s="1"/>
      <c r="AN53" s="1"/>
      <c r="AO53" s="1"/>
      <c r="AP53" s="1">
        <v>2.0</v>
      </c>
      <c r="AQ53" s="1">
        <v>686.8779907</v>
      </c>
      <c r="AR53" s="1">
        <v>24.67000008</v>
      </c>
      <c r="AS53" s="5">
        <v>67.30102554</v>
      </c>
      <c r="AT53" s="5">
        <v>5.79547831</v>
      </c>
      <c r="AU53" s="5">
        <v>21.26784313</v>
      </c>
      <c r="AV53" s="5">
        <v>5.635653025</v>
      </c>
    </row>
    <row r="54">
      <c r="A54" s="1" t="s">
        <v>71</v>
      </c>
      <c r="B54" s="1">
        <v>2.0</v>
      </c>
      <c r="C54" s="1">
        <v>771.6119995</v>
      </c>
      <c r="D54" s="1">
        <f t="shared" si="4"/>
        <v>1000000</v>
      </c>
      <c r="E54" s="2">
        <f t="shared" si="1"/>
        <v>57.68400192</v>
      </c>
      <c r="F54" s="1">
        <v>42.31599808</v>
      </c>
      <c r="G54" s="4">
        <f t="shared" si="2"/>
        <v>326.5153189</v>
      </c>
      <c r="R54" s="5">
        <v>97.31322263</v>
      </c>
      <c r="S54" s="5">
        <f t="shared" si="3"/>
        <v>97</v>
      </c>
      <c r="T54" s="5">
        <v>2.460712607</v>
      </c>
      <c r="U54" s="5">
        <v>0.1764242183</v>
      </c>
      <c r="V54" s="5">
        <v>0.04964054142</v>
      </c>
      <c r="W54" s="5"/>
      <c r="X54" s="1">
        <v>96.73119365</v>
      </c>
      <c r="Y54" s="1">
        <v>3.268806351</v>
      </c>
      <c r="Z54" s="1">
        <v>0.0</v>
      </c>
      <c r="AA54" s="1">
        <v>0.0</v>
      </c>
      <c r="AB54" s="1"/>
      <c r="AC54" s="1">
        <v>98.10662849</v>
      </c>
      <c r="AD54" s="1">
        <v>1.3591415</v>
      </c>
      <c r="AE54" s="1">
        <v>0.4169208475</v>
      </c>
      <c r="AF54" s="1">
        <v>0.1173091586</v>
      </c>
      <c r="AG54" s="1"/>
      <c r="AH54" s="1"/>
      <c r="AI54" s="1"/>
      <c r="AJ54" s="1"/>
      <c r="AK54" s="1"/>
      <c r="AL54" s="1"/>
      <c r="AM54" s="1"/>
      <c r="AN54" s="1"/>
      <c r="AO54" s="1"/>
      <c r="AP54" s="1">
        <v>2.0</v>
      </c>
      <c r="AQ54" s="1">
        <v>771.6119995</v>
      </c>
      <c r="AR54" s="1">
        <v>42.31599808</v>
      </c>
      <c r="AS54" s="5">
        <v>97.31322263</v>
      </c>
      <c r="AT54" s="5">
        <v>2.460712607</v>
      </c>
      <c r="AU54" s="5">
        <v>0.1764242183</v>
      </c>
      <c r="AV54" s="5">
        <v>0.04964054142</v>
      </c>
    </row>
    <row r="55">
      <c r="A55" s="1" t="s">
        <v>72</v>
      </c>
      <c r="B55" s="1">
        <v>3.0</v>
      </c>
      <c r="C55" s="1">
        <v>786.559021</v>
      </c>
      <c r="D55" s="1">
        <f t="shared" si="4"/>
        <v>1000000</v>
      </c>
      <c r="E55" s="2">
        <f t="shared" si="1"/>
        <v>73.2140007</v>
      </c>
      <c r="F55" s="1">
        <v>26.7859993</v>
      </c>
      <c r="G55" s="4">
        <f t="shared" si="2"/>
        <v>210.6876939</v>
      </c>
      <c r="R55" s="5">
        <v>95.55480685</v>
      </c>
      <c r="S55" s="5">
        <f t="shared" si="3"/>
        <v>96</v>
      </c>
      <c r="T55" s="5">
        <v>1.205244408</v>
      </c>
      <c r="U55" s="5">
        <v>1.143069849</v>
      </c>
      <c r="V55" s="5">
        <v>2.096878897</v>
      </c>
      <c r="W55" s="5"/>
      <c r="X55" s="1">
        <v>93.9284905</v>
      </c>
      <c r="Y55" s="1">
        <v>1.646193862</v>
      </c>
      <c r="Z55" s="1">
        <v>1.561274833</v>
      </c>
      <c r="AA55" s="1">
        <v>2.864040809</v>
      </c>
      <c r="AB55" s="1"/>
      <c r="AC55" s="1">
        <v>100.0</v>
      </c>
      <c r="AD55" s="1">
        <v>0.0</v>
      </c>
      <c r="AE55" s="1">
        <v>0.0</v>
      </c>
      <c r="AF55" s="1">
        <v>0.0</v>
      </c>
      <c r="AG55" s="1"/>
      <c r="AH55" s="1"/>
      <c r="AI55" s="1"/>
      <c r="AJ55" s="1"/>
      <c r="AK55" s="1"/>
      <c r="AL55" s="1"/>
      <c r="AM55" s="1"/>
      <c r="AN55" s="1"/>
      <c r="AO55" s="1"/>
      <c r="AP55" s="1">
        <v>3.0</v>
      </c>
      <c r="AQ55" s="1">
        <v>786.559021</v>
      </c>
      <c r="AR55" s="1">
        <v>26.7859993</v>
      </c>
      <c r="AS55" s="5">
        <v>95.55480685</v>
      </c>
      <c r="AT55" s="5">
        <v>1.205244408</v>
      </c>
      <c r="AU55" s="5">
        <v>1.143069849</v>
      </c>
      <c r="AV55" s="5">
        <v>2.096878897</v>
      </c>
    </row>
    <row r="56">
      <c r="A56" s="1" t="s">
        <v>73</v>
      </c>
      <c r="B56" s="1">
        <v>0.0</v>
      </c>
      <c r="C56" s="1">
        <v>895.3079834</v>
      </c>
      <c r="D56" s="1">
        <f t="shared" si="4"/>
        <v>1000000</v>
      </c>
      <c r="E56" s="2">
        <f t="shared" si="1"/>
        <v>0.34099579</v>
      </c>
      <c r="F56" s="1">
        <v>99.65900421</v>
      </c>
      <c r="G56" s="4">
        <f t="shared" si="2"/>
        <v>892.2550209</v>
      </c>
      <c r="R56" s="5">
        <v>100.0</v>
      </c>
      <c r="S56" s="5">
        <f t="shared" si="3"/>
        <v>100</v>
      </c>
      <c r="T56" s="5">
        <v>0.0</v>
      </c>
      <c r="U56" s="5">
        <v>0.0</v>
      </c>
      <c r="V56" s="5">
        <v>0.0</v>
      </c>
      <c r="W56" s="5"/>
      <c r="X56" s="1" t="s">
        <v>19</v>
      </c>
      <c r="Y56" s="1" t="s">
        <v>19</v>
      </c>
      <c r="Z56" s="1" t="s">
        <v>19</v>
      </c>
      <c r="AA56" s="1" t="s">
        <v>19</v>
      </c>
      <c r="AB56" s="1"/>
      <c r="AC56" s="1" t="s">
        <v>19</v>
      </c>
      <c r="AD56" s="1" t="s">
        <v>19</v>
      </c>
      <c r="AE56" s="1" t="s">
        <v>19</v>
      </c>
      <c r="AF56" s="1" t="s">
        <v>19</v>
      </c>
      <c r="AG56" s="1"/>
      <c r="AH56" s="1"/>
      <c r="AI56" s="1"/>
      <c r="AJ56" s="1"/>
      <c r="AK56" s="1"/>
      <c r="AL56" s="1"/>
      <c r="AM56" s="1"/>
      <c r="AN56" s="1"/>
      <c r="AO56" s="1"/>
      <c r="AP56" s="1">
        <v>0.0</v>
      </c>
      <c r="AQ56" s="1">
        <v>895.3079834</v>
      </c>
      <c r="AR56" s="1">
        <v>99.65900421</v>
      </c>
      <c r="AS56" s="5">
        <v>100.0</v>
      </c>
      <c r="AT56" s="5">
        <v>0.0</v>
      </c>
      <c r="AU56" s="5">
        <v>0.0</v>
      </c>
      <c r="AV56" s="5">
        <v>0.0</v>
      </c>
    </row>
    <row r="57">
      <c r="A57" s="1" t="s">
        <v>74</v>
      </c>
      <c r="B57" s="1">
        <v>3.0</v>
      </c>
      <c r="C57" s="1">
        <v>896.4439697</v>
      </c>
      <c r="D57" s="1">
        <f t="shared" si="4"/>
        <v>1000000</v>
      </c>
      <c r="E57" s="2">
        <f t="shared" si="1"/>
        <v>42.75299454</v>
      </c>
      <c r="F57" s="1">
        <v>57.24700546</v>
      </c>
      <c r="G57" s="4">
        <f t="shared" si="2"/>
        <v>513.1873283</v>
      </c>
      <c r="R57" s="5">
        <v>94.30106524</v>
      </c>
      <c r="S57" s="5">
        <f t="shared" si="3"/>
        <v>94</v>
      </c>
      <c r="T57" s="5">
        <v>0.0</v>
      </c>
      <c r="U57" s="5">
        <v>3.318602766</v>
      </c>
      <c r="V57" s="5">
        <v>2.380331999</v>
      </c>
      <c r="W57" s="5"/>
      <c r="X57" s="1">
        <v>89.08802405</v>
      </c>
      <c r="Y57" s="1">
        <v>0.0</v>
      </c>
      <c r="Z57" s="1">
        <v>5.759897938</v>
      </c>
      <c r="AA57" s="1">
        <v>5.152078012</v>
      </c>
      <c r="AB57" s="1"/>
      <c r="AC57" s="1">
        <v>98.19424406</v>
      </c>
      <c r="AD57" s="1">
        <v>0.0</v>
      </c>
      <c r="AE57" s="1">
        <v>1.495409344</v>
      </c>
      <c r="AF57" s="1">
        <v>0.3103465922</v>
      </c>
      <c r="AG57" s="1"/>
      <c r="AH57" s="1"/>
      <c r="AI57" s="1"/>
      <c r="AJ57" s="1"/>
      <c r="AK57" s="1"/>
      <c r="AL57" s="1"/>
      <c r="AM57" s="1"/>
      <c r="AN57" s="1"/>
      <c r="AO57" s="1"/>
      <c r="AP57" s="1">
        <v>3.0</v>
      </c>
      <c r="AQ57" s="1">
        <v>896.4439697</v>
      </c>
      <c r="AR57" s="1">
        <v>57.24700546</v>
      </c>
      <c r="AS57" s="5">
        <v>94.30106524</v>
      </c>
      <c r="AT57" s="5">
        <v>0.0</v>
      </c>
      <c r="AU57" s="5">
        <v>3.318602766</v>
      </c>
      <c r="AV57" s="5">
        <v>2.380331999</v>
      </c>
    </row>
    <row r="58">
      <c r="A58" s="1" t="s">
        <v>75</v>
      </c>
      <c r="B58" s="1">
        <v>2.0</v>
      </c>
      <c r="C58" s="1">
        <v>988.0020142</v>
      </c>
      <c r="D58" s="1">
        <f t="shared" si="4"/>
        <v>1000000</v>
      </c>
      <c r="E58" s="2">
        <f t="shared" si="1"/>
        <v>21.93800354</v>
      </c>
      <c r="F58" s="1">
        <v>78.06199646</v>
      </c>
      <c r="G58" s="4">
        <f t="shared" si="2"/>
        <v>771.2540973</v>
      </c>
      <c r="R58" s="5">
        <v>76.04992021</v>
      </c>
      <c r="S58" s="5">
        <f t="shared" si="3"/>
        <v>76</v>
      </c>
      <c r="T58" s="5">
        <v>14.7574817</v>
      </c>
      <c r="U58" s="5">
        <v>7.015876051</v>
      </c>
      <c r="V58" s="5">
        <v>2.176722038</v>
      </c>
      <c r="W58" s="5"/>
      <c r="X58" s="1">
        <v>47.28073293</v>
      </c>
      <c r="Y58" s="1">
        <v>12.06161014</v>
      </c>
      <c r="Z58" s="1">
        <v>30.73550468</v>
      </c>
      <c r="AA58" s="1">
        <v>9.922152249</v>
      </c>
      <c r="AB58" s="1"/>
      <c r="AC58" s="1">
        <v>84.13501493</v>
      </c>
      <c r="AD58" s="1">
        <v>15.51511107</v>
      </c>
      <c r="AE58" s="1">
        <v>0.3498740029</v>
      </c>
      <c r="AF58" s="1">
        <v>0.0</v>
      </c>
      <c r="AG58" s="1"/>
      <c r="AH58" s="1"/>
      <c r="AI58" s="1"/>
      <c r="AJ58" s="1"/>
      <c r="AK58" s="1"/>
      <c r="AL58" s="1"/>
      <c r="AM58" s="1"/>
      <c r="AN58" s="1"/>
      <c r="AO58" s="1"/>
      <c r="AP58" s="1">
        <v>2.0</v>
      </c>
      <c r="AQ58" s="1">
        <v>988.0020142</v>
      </c>
      <c r="AR58" s="1">
        <v>78.06199646</v>
      </c>
      <c r="AS58" s="5">
        <v>76.04992021</v>
      </c>
      <c r="AT58" s="5">
        <v>14.7574817</v>
      </c>
      <c r="AU58" s="5">
        <v>7.015876051</v>
      </c>
      <c r="AV58" s="5">
        <v>2.176722038</v>
      </c>
    </row>
    <row r="59">
      <c r="A59" s="1" t="s">
        <v>76</v>
      </c>
      <c r="B59" s="1">
        <v>2.0</v>
      </c>
      <c r="C59" s="1">
        <v>1160.16394</v>
      </c>
      <c r="D59" s="1">
        <f t="shared" si="4"/>
        <v>2000000</v>
      </c>
      <c r="E59" s="2">
        <f t="shared" si="1"/>
        <v>75.82899857</v>
      </c>
      <c r="F59" s="1">
        <v>24.17100143</v>
      </c>
      <c r="G59" s="4">
        <f t="shared" si="2"/>
        <v>280.4232425</v>
      </c>
      <c r="R59" s="5">
        <v>70.75307095</v>
      </c>
      <c r="S59" s="5">
        <f t="shared" si="3"/>
        <v>71</v>
      </c>
      <c r="T59" s="5">
        <v>9.507067163</v>
      </c>
      <c r="U59" s="5">
        <v>9.835567931</v>
      </c>
      <c r="V59" s="5">
        <v>9.904293959</v>
      </c>
      <c r="W59" s="5"/>
      <c r="X59" s="1">
        <v>62.46644874</v>
      </c>
      <c r="Y59" s="1">
        <v>12.29969513</v>
      </c>
      <c r="Z59" s="1">
        <v>12.45046093</v>
      </c>
      <c r="AA59" s="1">
        <v>12.78339519</v>
      </c>
      <c r="AB59" s="1"/>
      <c r="AC59" s="1">
        <v>96.74976305</v>
      </c>
      <c r="AD59" s="1">
        <v>0.7460644731</v>
      </c>
      <c r="AE59" s="1">
        <v>1.632164244</v>
      </c>
      <c r="AF59" s="1">
        <v>0.8720082294</v>
      </c>
      <c r="AG59" s="1"/>
      <c r="AH59" s="1"/>
      <c r="AI59" s="1"/>
      <c r="AJ59" s="1"/>
      <c r="AK59" s="1"/>
      <c r="AL59" s="1"/>
      <c r="AM59" s="1"/>
      <c r="AN59" s="1"/>
      <c r="AO59" s="1"/>
      <c r="AP59" s="1">
        <v>2.0</v>
      </c>
      <c r="AQ59" s="1">
        <v>1160.16394</v>
      </c>
      <c r="AR59" s="1">
        <v>24.17100143</v>
      </c>
      <c r="AS59" s="5">
        <v>70.75307095</v>
      </c>
      <c r="AT59" s="5">
        <v>9.507067163</v>
      </c>
      <c r="AU59" s="5">
        <v>9.835567931</v>
      </c>
      <c r="AV59" s="5">
        <v>9.904293959</v>
      </c>
    </row>
    <row r="60">
      <c r="A60" s="1" t="s">
        <v>77</v>
      </c>
      <c r="B60" s="1">
        <v>4.0</v>
      </c>
      <c r="C60" s="1">
        <v>1207.360962</v>
      </c>
      <c r="D60" s="1">
        <f t="shared" si="4"/>
        <v>2000000</v>
      </c>
      <c r="E60" s="2">
        <f t="shared" si="1"/>
        <v>33.17900085</v>
      </c>
      <c r="F60" s="1">
        <v>66.82099915</v>
      </c>
      <c r="G60" s="4">
        <f t="shared" si="2"/>
        <v>806.7706582</v>
      </c>
      <c r="R60" s="5">
        <v>99.76517318</v>
      </c>
      <c r="S60" s="5">
        <f t="shared" si="3"/>
        <v>100</v>
      </c>
      <c r="T60" s="5">
        <v>0.0</v>
      </c>
      <c r="U60" s="5">
        <v>0.2348268167</v>
      </c>
      <c r="V60" s="5">
        <v>0.0</v>
      </c>
      <c r="W60" s="5"/>
      <c r="X60" s="1">
        <v>99.84576172</v>
      </c>
      <c r="Y60" s="1">
        <v>0.0</v>
      </c>
      <c r="Z60" s="1">
        <v>0.1542382836</v>
      </c>
      <c r="AA60" s="1">
        <v>0.0</v>
      </c>
      <c r="AB60" s="1"/>
      <c r="AC60" s="1">
        <v>99.72515812</v>
      </c>
      <c r="AD60" s="1">
        <v>0.0</v>
      </c>
      <c r="AE60" s="1">
        <v>0.2748418825</v>
      </c>
      <c r="AF60" s="1">
        <v>0.0</v>
      </c>
      <c r="AG60" s="1"/>
      <c r="AH60" s="1"/>
      <c r="AI60" s="1"/>
      <c r="AJ60" s="1"/>
      <c r="AK60" s="1"/>
      <c r="AL60" s="1"/>
      <c r="AM60" s="1"/>
      <c r="AN60" s="1"/>
      <c r="AO60" s="1"/>
      <c r="AP60" s="1">
        <v>4.0</v>
      </c>
      <c r="AQ60" s="1">
        <v>1207.360962</v>
      </c>
      <c r="AR60" s="1">
        <v>66.82099915</v>
      </c>
      <c r="AS60" s="5">
        <v>99.76517318</v>
      </c>
      <c r="AT60" s="5">
        <v>0.0</v>
      </c>
      <c r="AU60" s="5">
        <v>0.2348268167</v>
      </c>
      <c r="AV60" s="5">
        <v>0.0</v>
      </c>
    </row>
    <row r="61">
      <c r="A61" s="1" t="s">
        <v>78</v>
      </c>
      <c r="B61" s="1">
        <v>3.0</v>
      </c>
      <c r="C61" s="1">
        <v>1271.766968</v>
      </c>
      <c r="D61" s="1">
        <f t="shared" si="4"/>
        <v>2000000</v>
      </c>
      <c r="E61" s="2">
        <f t="shared" si="1"/>
        <v>59.24000168</v>
      </c>
      <c r="F61" s="1">
        <v>40.75999832</v>
      </c>
      <c r="G61" s="4">
        <f t="shared" si="2"/>
        <v>518.3721948</v>
      </c>
      <c r="R61" s="5">
        <v>99.8662547</v>
      </c>
      <c r="S61" s="5">
        <f t="shared" si="3"/>
        <v>100</v>
      </c>
      <c r="T61" s="5">
        <v>0.0</v>
      </c>
      <c r="U61" s="5">
        <v>0.1337453014</v>
      </c>
      <c r="V61" s="5">
        <v>0.0</v>
      </c>
      <c r="W61" s="5"/>
      <c r="X61" s="1">
        <v>99.82768234</v>
      </c>
      <c r="Y61" s="1">
        <v>0.0</v>
      </c>
      <c r="Z61" s="1">
        <v>0.1723176618</v>
      </c>
      <c r="AA61" s="1">
        <v>0.0</v>
      </c>
      <c r="AB61" s="1"/>
      <c r="AC61" s="1">
        <v>99.92231522</v>
      </c>
      <c r="AD61" s="1">
        <v>0.0</v>
      </c>
      <c r="AE61" s="1">
        <v>0.07768478119</v>
      </c>
      <c r="AF61" s="1">
        <v>0.0</v>
      </c>
      <c r="AG61" s="1"/>
      <c r="AH61" s="1"/>
      <c r="AI61" s="1"/>
      <c r="AJ61" s="1"/>
      <c r="AK61" s="1"/>
      <c r="AL61" s="1"/>
      <c r="AM61" s="1"/>
      <c r="AN61" s="1"/>
      <c r="AO61" s="1"/>
      <c r="AP61" s="1">
        <v>3.0</v>
      </c>
      <c r="AQ61" s="1">
        <v>1271.766968</v>
      </c>
      <c r="AR61" s="1">
        <v>40.75999832</v>
      </c>
      <c r="AS61" s="5">
        <v>99.8662547</v>
      </c>
      <c r="AT61" s="5">
        <v>0.0</v>
      </c>
      <c r="AU61" s="5">
        <v>0.1337453014</v>
      </c>
      <c r="AV61" s="5">
        <v>0.0</v>
      </c>
    </row>
    <row r="62">
      <c r="A62" s="1" t="s">
        <v>79</v>
      </c>
      <c r="B62" s="1">
        <v>2.0</v>
      </c>
      <c r="C62" s="1">
        <v>1318.442017</v>
      </c>
      <c r="D62" s="1">
        <f t="shared" si="4"/>
        <v>2000000</v>
      </c>
      <c r="E62" s="2">
        <f t="shared" si="1"/>
        <v>68.68000031</v>
      </c>
      <c r="F62" s="1">
        <v>31.31999969</v>
      </c>
      <c r="G62" s="4">
        <f t="shared" si="2"/>
        <v>412.9360356</v>
      </c>
      <c r="R62" s="5">
        <v>85.4956012</v>
      </c>
      <c r="S62" s="5">
        <f t="shared" si="3"/>
        <v>85</v>
      </c>
      <c r="T62" s="5">
        <v>1.88586597</v>
      </c>
      <c r="U62" s="5">
        <v>8.360029397</v>
      </c>
      <c r="V62" s="5">
        <v>4.258503433</v>
      </c>
      <c r="W62" s="5"/>
      <c r="X62" s="1">
        <v>80.48779562</v>
      </c>
      <c r="Y62" s="1">
        <v>2.049364675</v>
      </c>
      <c r="Z62" s="1">
        <v>11.26233968</v>
      </c>
      <c r="AA62" s="1">
        <v>6.200500018</v>
      </c>
      <c r="AB62" s="1"/>
      <c r="AC62" s="1">
        <v>96.47695792</v>
      </c>
      <c r="AD62" s="1">
        <v>1.527338152</v>
      </c>
      <c r="AE62" s="1">
        <v>1.995703929</v>
      </c>
      <c r="AF62" s="1">
        <v>0.0</v>
      </c>
      <c r="AG62" s="1"/>
      <c r="AH62" s="1"/>
      <c r="AI62" s="1"/>
      <c r="AJ62" s="1"/>
      <c r="AK62" s="1"/>
      <c r="AL62" s="1"/>
      <c r="AM62" s="1"/>
      <c r="AN62" s="1"/>
      <c r="AO62" s="1"/>
      <c r="AP62" s="1">
        <v>2.0</v>
      </c>
      <c r="AQ62" s="1">
        <v>1318.442017</v>
      </c>
      <c r="AR62" s="1">
        <v>31.31999969</v>
      </c>
      <c r="AS62" s="5">
        <v>85.4956012</v>
      </c>
      <c r="AT62" s="5">
        <v>1.88586597</v>
      </c>
      <c r="AU62" s="5">
        <v>8.360029397</v>
      </c>
      <c r="AV62" s="5">
        <v>4.258503433</v>
      </c>
    </row>
    <row r="63">
      <c r="A63" s="1" t="s">
        <v>80</v>
      </c>
      <c r="B63" s="1">
        <v>4.0</v>
      </c>
      <c r="C63" s="1">
        <v>1326.53894</v>
      </c>
      <c r="D63" s="1">
        <f t="shared" si="4"/>
        <v>2000000</v>
      </c>
      <c r="E63" s="2">
        <f t="shared" si="1"/>
        <v>30.77099609</v>
      </c>
      <c r="F63" s="1">
        <v>69.22900391</v>
      </c>
      <c r="G63" s="4">
        <f t="shared" si="2"/>
        <v>918.3496946</v>
      </c>
      <c r="R63" s="5">
        <v>99.59078178</v>
      </c>
      <c r="S63" s="5">
        <f t="shared" si="3"/>
        <v>100</v>
      </c>
      <c r="T63" s="5">
        <v>0.0</v>
      </c>
      <c r="U63" s="5">
        <v>0.4092182232</v>
      </c>
      <c r="V63" s="5">
        <v>0.0</v>
      </c>
      <c r="W63" s="5"/>
      <c r="X63" s="1" t="s">
        <v>19</v>
      </c>
      <c r="Y63" s="1" t="s">
        <v>19</v>
      </c>
      <c r="Z63" s="1" t="s">
        <v>19</v>
      </c>
      <c r="AA63" s="1" t="s">
        <v>19</v>
      </c>
      <c r="AB63" s="1"/>
      <c r="AC63" s="1">
        <v>99.98545421</v>
      </c>
      <c r="AD63" s="1">
        <v>0.0</v>
      </c>
      <c r="AE63" s="1">
        <v>0.01454579307</v>
      </c>
      <c r="AF63" s="1">
        <v>0.0</v>
      </c>
      <c r="AG63" s="1"/>
      <c r="AH63" s="1"/>
      <c r="AI63" s="1"/>
      <c r="AJ63" s="1"/>
      <c r="AK63" s="1"/>
      <c r="AL63" s="1"/>
      <c r="AM63" s="1"/>
      <c r="AN63" s="1"/>
      <c r="AO63" s="1"/>
      <c r="AP63" s="1">
        <v>4.0</v>
      </c>
      <c r="AQ63" s="1">
        <v>1326.53894</v>
      </c>
      <c r="AR63" s="1">
        <v>69.22900391</v>
      </c>
      <c r="AS63" s="5">
        <v>99.59078178</v>
      </c>
      <c r="AT63" s="5">
        <v>0.0</v>
      </c>
      <c r="AU63" s="5">
        <v>0.4092182232</v>
      </c>
      <c r="AV63" s="5">
        <v>0.0</v>
      </c>
    </row>
    <row r="64">
      <c r="A64" s="1" t="s">
        <v>81</v>
      </c>
      <c r="B64" s="1">
        <v>4.0</v>
      </c>
      <c r="C64" s="1">
        <v>1399.490967</v>
      </c>
      <c r="D64" s="1">
        <f t="shared" si="4"/>
        <v>2000000</v>
      </c>
      <c r="E64" s="2">
        <f t="shared" si="1"/>
        <v>46.7859993</v>
      </c>
      <c r="F64" s="1">
        <v>53.2140007</v>
      </c>
      <c r="G64" s="4">
        <f t="shared" si="2"/>
        <v>744.725133</v>
      </c>
      <c r="R64" s="5">
        <v>98.87517077</v>
      </c>
      <c r="S64" s="5">
        <f t="shared" si="3"/>
        <v>99</v>
      </c>
      <c r="T64" s="5">
        <v>1.124829231</v>
      </c>
      <c r="U64" s="5">
        <v>0.0</v>
      </c>
      <c r="V64" s="5">
        <v>0.0</v>
      </c>
      <c r="W64" s="5"/>
      <c r="X64" s="1" t="s">
        <v>19</v>
      </c>
      <c r="Y64" s="1" t="s">
        <v>19</v>
      </c>
      <c r="Z64" s="1" t="s">
        <v>19</v>
      </c>
      <c r="AA64" s="1" t="s">
        <v>19</v>
      </c>
      <c r="AB64" s="1"/>
      <c r="AC64" s="1" t="s">
        <v>19</v>
      </c>
      <c r="AD64" s="1" t="s">
        <v>19</v>
      </c>
      <c r="AE64" s="1" t="s">
        <v>19</v>
      </c>
      <c r="AF64" s="1" t="s">
        <v>19</v>
      </c>
      <c r="AG64" s="1"/>
      <c r="AH64" s="1"/>
      <c r="AI64" s="1"/>
      <c r="AJ64" s="1"/>
      <c r="AK64" s="1"/>
      <c r="AL64" s="1"/>
      <c r="AM64" s="1"/>
      <c r="AN64" s="1"/>
      <c r="AO64" s="1"/>
      <c r="AP64" s="1">
        <v>4.0</v>
      </c>
      <c r="AQ64" s="1">
        <v>1399.490967</v>
      </c>
      <c r="AR64" s="1">
        <v>53.2140007</v>
      </c>
      <c r="AS64" s="5">
        <v>98.87517077</v>
      </c>
      <c r="AT64" s="5">
        <v>1.124829231</v>
      </c>
      <c r="AU64" s="5">
        <v>0.0</v>
      </c>
      <c r="AV64" s="5">
        <v>0.0</v>
      </c>
    </row>
    <row r="65">
      <c r="A65" s="1" t="s">
        <v>82</v>
      </c>
      <c r="B65" s="1">
        <v>4.0</v>
      </c>
      <c r="C65" s="1">
        <v>1701.583008</v>
      </c>
      <c r="D65" s="1">
        <f t="shared" si="4"/>
        <v>2000000</v>
      </c>
      <c r="E65" s="2">
        <f t="shared" si="1"/>
        <v>10.49399567</v>
      </c>
      <c r="F65" s="1">
        <v>89.50600433</v>
      </c>
      <c r="G65" s="4">
        <f t="shared" si="2"/>
        <v>1523.018961</v>
      </c>
      <c r="R65" s="5">
        <v>100.0</v>
      </c>
      <c r="S65" s="5">
        <f t="shared" si="3"/>
        <v>100</v>
      </c>
      <c r="T65" s="5">
        <v>0.0</v>
      </c>
      <c r="U65" s="5">
        <v>0.0</v>
      </c>
      <c r="V65" s="5">
        <v>0.0</v>
      </c>
      <c r="W65" s="5"/>
      <c r="X65" s="1" t="s">
        <v>19</v>
      </c>
      <c r="Y65" s="1" t="s">
        <v>19</v>
      </c>
      <c r="Z65" s="1" t="s">
        <v>19</v>
      </c>
      <c r="AA65" s="1" t="s">
        <v>19</v>
      </c>
      <c r="AB65" s="1"/>
      <c r="AC65" s="1" t="s">
        <v>19</v>
      </c>
      <c r="AD65" s="1" t="s">
        <v>19</v>
      </c>
      <c r="AE65" s="1" t="s">
        <v>19</v>
      </c>
      <c r="AF65" s="1" t="s">
        <v>19</v>
      </c>
      <c r="AG65" s="1"/>
      <c r="AH65" s="1"/>
      <c r="AI65" s="1"/>
      <c r="AJ65" s="1"/>
      <c r="AK65" s="1"/>
      <c r="AL65" s="1"/>
      <c r="AM65" s="1"/>
      <c r="AN65" s="1"/>
      <c r="AO65" s="1"/>
      <c r="AP65" s="1">
        <v>4.0</v>
      </c>
      <c r="AQ65" s="1">
        <v>1701.583008</v>
      </c>
      <c r="AR65" s="1">
        <v>89.50600433</v>
      </c>
      <c r="AS65" s="5">
        <v>100.0</v>
      </c>
      <c r="AT65" s="5">
        <v>0.0</v>
      </c>
      <c r="AU65" s="5">
        <v>0.0</v>
      </c>
      <c r="AV65" s="5">
        <v>0.0</v>
      </c>
    </row>
    <row r="66">
      <c r="A66" s="1" t="s">
        <v>83</v>
      </c>
      <c r="B66" s="1">
        <v>4.0</v>
      </c>
      <c r="C66" s="1">
        <v>1886.202026</v>
      </c>
      <c r="D66" s="1">
        <f t="shared" si="4"/>
        <v>2000000</v>
      </c>
      <c r="E66" s="2">
        <f t="shared" si="1"/>
        <v>31.68499756</v>
      </c>
      <c r="F66" s="1">
        <v>68.31500244</v>
      </c>
      <c r="G66" s="4">
        <f t="shared" si="2"/>
        <v>1288.55896</v>
      </c>
      <c r="R66" s="5">
        <v>98.78260115</v>
      </c>
      <c r="S66" s="5">
        <f t="shared" si="3"/>
        <v>99</v>
      </c>
      <c r="T66" s="5">
        <v>0.6823007424</v>
      </c>
      <c r="U66" s="5">
        <v>0.5350981037</v>
      </c>
      <c r="V66" s="5">
        <v>0.0</v>
      </c>
      <c r="W66" s="5"/>
      <c r="X66" s="1">
        <v>98.57922314</v>
      </c>
      <c r="Y66" s="1">
        <v>0.0</v>
      </c>
      <c r="Z66" s="1">
        <v>1.42077686</v>
      </c>
      <c r="AA66" s="1">
        <v>0.0</v>
      </c>
      <c r="AB66" s="1"/>
      <c r="AC66" s="1">
        <v>98.87692469</v>
      </c>
      <c r="AD66" s="1">
        <v>0.9987568151</v>
      </c>
      <c r="AE66" s="1">
        <v>0.1243184908</v>
      </c>
      <c r="AF66" s="1">
        <v>0.0</v>
      </c>
      <c r="AG66" s="1"/>
      <c r="AH66" s="1"/>
      <c r="AI66" s="1"/>
      <c r="AJ66" s="1"/>
      <c r="AK66" s="1"/>
      <c r="AL66" s="1"/>
      <c r="AM66" s="1"/>
      <c r="AN66" s="1"/>
      <c r="AO66" s="1"/>
      <c r="AP66" s="1">
        <v>4.0</v>
      </c>
      <c r="AQ66" s="1">
        <v>1886.202026</v>
      </c>
      <c r="AR66" s="1">
        <v>68.31500244</v>
      </c>
      <c r="AS66" s="5">
        <v>98.78260115</v>
      </c>
      <c r="AT66" s="5">
        <v>0.6823007424</v>
      </c>
      <c r="AU66" s="5">
        <v>0.5350981037</v>
      </c>
      <c r="AV66" s="5">
        <v>0.0</v>
      </c>
    </row>
    <row r="67">
      <c r="A67" s="1" t="s">
        <v>84</v>
      </c>
      <c r="B67" s="1">
        <v>1.0</v>
      </c>
      <c r="C67" s="1">
        <v>1967.998047</v>
      </c>
      <c r="D67" s="1">
        <f t="shared" si="4"/>
        <v>2000000</v>
      </c>
      <c r="E67" s="2">
        <f t="shared" si="1"/>
        <v>55.80400085</v>
      </c>
      <c r="F67" s="1">
        <v>44.19599915</v>
      </c>
      <c r="G67" s="4">
        <f t="shared" si="2"/>
        <v>869.7764001</v>
      </c>
      <c r="R67" s="5">
        <v>59.01691221</v>
      </c>
      <c r="S67" s="5">
        <f t="shared" si="3"/>
        <v>59</v>
      </c>
      <c r="T67" s="5">
        <v>14.03457137</v>
      </c>
      <c r="U67" s="5">
        <v>26.6263769</v>
      </c>
      <c r="V67" s="5">
        <v>0.3221395192</v>
      </c>
      <c r="W67" s="5"/>
      <c r="X67" s="1">
        <v>49.8319053</v>
      </c>
      <c r="Y67" s="1">
        <v>9.285773026</v>
      </c>
      <c r="Z67" s="1">
        <v>40.31645129</v>
      </c>
      <c r="AA67" s="1">
        <v>0.5658703845</v>
      </c>
      <c r="AB67" s="1"/>
      <c r="AC67" s="1">
        <v>70.61434791</v>
      </c>
      <c r="AD67" s="1">
        <v>20.03063358</v>
      </c>
      <c r="AE67" s="1">
        <v>9.340625284</v>
      </c>
      <c r="AF67" s="1">
        <v>0.01439322693</v>
      </c>
      <c r="AG67" s="1"/>
      <c r="AH67" s="1"/>
      <c r="AI67" s="1"/>
      <c r="AJ67" s="1"/>
      <c r="AK67" s="1"/>
      <c r="AL67" s="1"/>
      <c r="AM67" s="1"/>
      <c r="AN67" s="1"/>
      <c r="AO67" s="1"/>
      <c r="AP67" s="1">
        <v>1.0</v>
      </c>
      <c r="AQ67" s="1">
        <v>1967.998047</v>
      </c>
      <c r="AR67" s="1">
        <v>44.19599915</v>
      </c>
      <c r="AS67" s="5">
        <v>59.01691221</v>
      </c>
      <c r="AT67" s="5">
        <v>14.03457137</v>
      </c>
      <c r="AU67" s="5">
        <v>26.6263769</v>
      </c>
      <c r="AV67" s="5">
        <v>0.3221395192</v>
      </c>
    </row>
    <row r="68">
      <c r="A68" s="1" t="s">
        <v>85</v>
      </c>
      <c r="B68" s="1">
        <v>4.0</v>
      </c>
      <c r="C68" s="1">
        <v>2078.931885</v>
      </c>
      <c r="D68" s="1">
        <f t="shared" si="4"/>
        <v>3000000</v>
      </c>
      <c r="E68" s="2">
        <f t="shared" si="1"/>
        <v>44.88199615</v>
      </c>
      <c r="F68" s="1">
        <v>55.11800385</v>
      </c>
      <c r="G68" s="4">
        <f t="shared" si="2"/>
        <v>1145.865756</v>
      </c>
      <c r="R68" s="5">
        <v>99.5</v>
      </c>
      <c r="S68" s="5">
        <f t="shared" si="3"/>
        <v>100</v>
      </c>
      <c r="T68" s="5">
        <v>0.0</v>
      </c>
      <c r="U68" s="5">
        <v>0.5</v>
      </c>
      <c r="V68" s="5">
        <v>0.0</v>
      </c>
      <c r="W68" s="5"/>
      <c r="X68" s="1" t="s">
        <v>19</v>
      </c>
      <c r="Y68" s="1" t="s">
        <v>19</v>
      </c>
      <c r="Z68" s="1" t="s">
        <v>19</v>
      </c>
      <c r="AA68" s="1" t="s">
        <v>19</v>
      </c>
      <c r="AB68" s="1"/>
      <c r="AC68" s="1" t="s">
        <v>19</v>
      </c>
      <c r="AD68" s="1" t="s">
        <v>19</v>
      </c>
      <c r="AE68" s="1" t="s">
        <v>19</v>
      </c>
      <c r="AF68" s="1" t="s">
        <v>19</v>
      </c>
      <c r="AG68" s="1"/>
      <c r="AH68" s="1"/>
      <c r="AI68" s="1"/>
      <c r="AJ68" s="1"/>
      <c r="AK68" s="1"/>
      <c r="AL68" s="1"/>
      <c r="AM68" s="1"/>
      <c r="AN68" s="1"/>
      <c r="AO68" s="1"/>
      <c r="AP68" s="1">
        <v>4.0</v>
      </c>
      <c r="AQ68" s="1">
        <v>2078.931885</v>
      </c>
      <c r="AR68" s="1">
        <v>55.11800385</v>
      </c>
      <c r="AS68" s="5">
        <v>99.5</v>
      </c>
      <c r="AT68" s="5">
        <v>0.0</v>
      </c>
      <c r="AU68" s="5">
        <v>0.5</v>
      </c>
      <c r="AV68" s="5">
        <v>0.0</v>
      </c>
    </row>
    <row r="69">
      <c r="A69" s="1" t="s">
        <v>86</v>
      </c>
      <c r="B69" s="1">
        <v>3.0</v>
      </c>
      <c r="C69" s="1">
        <v>2083.379883</v>
      </c>
      <c r="D69" s="1">
        <f t="shared" si="4"/>
        <v>3000000</v>
      </c>
      <c r="E69" s="2">
        <f t="shared" si="1"/>
        <v>41.51800156</v>
      </c>
      <c r="F69" s="1">
        <v>58.48199844</v>
      </c>
      <c r="G69" s="4">
        <f t="shared" si="2"/>
        <v>1218.402191</v>
      </c>
      <c r="R69" s="5">
        <v>97.74281579</v>
      </c>
      <c r="S69" s="5">
        <f t="shared" si="3"/>
        <v>98</v>
      </c>
      <c r="T69" s="5">
        <v>1.63499414</v>
      </c>
      <c r="U69" s="5">
        <v>0.5742284762</v>
      </c>
      <c r="V69" s="5">
        <v>0.04796159706</v>
      </c>
      <c r="W69" s="5"/>
      <c r="X69" s="1">
        <v>97.46871457</v>
      </c>
      <c r="Y69" s="1">
        <v>1.505202232</v>
      </c>
      <c r="Z69" s="1">
        <v>0.9105631982</v>
      </c>
      <c r="AA69" s="1">
        <v>0.11552</v>
      </c>
      <c r="AB69" s="1"/>
      <c r="AC69" s="1">
        <v>97.93740299</v>
      </c>
      <c r="AD69" s="1">
        <v>1.727136954</v>
      </c>
      <c r="AE69" s="1">
        <v>0.3354600563</v>
      </c>
      <c r="AF69" s="1">
        <v>0.0</v>
      </c>
      <c r="AG69" s="1"/>
      <c r="AH69" s="1"/>
      <c r="AI69" s="1"/>
      <c r="AJ69" s="1"/>
      <c r="AK69" s="1"/>
      <c r="AL69" s="1"/>
      <c r="AM69" s="1"/>
      <c r="AN69" s="1"/>
      <c r="AO69" s="1"/>
      <c r="AP69" s="1">
        <v>3.0</v>
      </c>
      <c r="AQ69" s="1">
        <v>2083.379883</v>
      </c>
      <c r="AR69" s="1">
        <v>58.48199844</v>
      </c>
      <c r="AS69" s="5">
        <v>97.74281579</v>
      </c>
      <c r="AT69" s="5">
        <v>1.63499414</v>
      </c>
      <c r="AU69" s="5">
        <v>0.5742284762</v>
      </c>
      <c r="AV69" s="5">
        <v>0.04796159706</v>
      </c>
    </row>
    <row r="70">
      <c r="A70" s="1" t="s">
        <v>87</v>
      </c>
      <c r="B70" s="1">
        <v>2.0</v>
      </c>
      <c r="C70" s="1">
        <v>2142.251953</v>
      </c>
      <c r="D70" s="1">
        <f t="shared" si="4"/>
        <v>3000000</v>
      </c>
      <c r="E70" s="2">
        <f t="shared" si="1"/>
        <v>70.97200012</v>
      </c>
      <c r="F70" s="1">
        <v>29.02799988</v>
      </c>
      <c r="G70" s="4">
        <f t="shared" si="2"/>
        <v>621.8528943</v>
      </c>
      <c r="R70" s="5">
        <v>72.17603927</v>
      </c>
      <c r="S70" s="5">
        <f t="shared" si="3"/>
        <v>72</v>
      </c>
      <c r="T70" s="5">
        <v>10.40592597</v>
      </c>
      <c r="U70" s="5">
        <v>12.21725464</v>
      </c>
      <c r="V70" s="5">
        <v>5.200780116</v>
      </c>
      <c r="W70" s="5"/>
      <c r="X70" s="1">
        <v>63.65035482</v>
      </c>
      <c r="Y70" s="1">
        <v>13.55843013</v>
      </c>
      <c r="Z70" s="1">
        <v>15.73132479</v>
      </c>
      <c r="AA70" s="1">
        <v>7.059890254</v>
      </c>
      <c r="AB70" s="1"/>
      <c r="AC70" s="1">
        <v>93.02090855</v>
      </c>
      <c r="AD70" s="1">
        <v>2.698211997</v>
      </c>
      <c r="AE70" s="1">
        <v>3.625530038</v>
      </c>
      <c r="AF70" s="1">
        <v>0.65534942</v>
      </c>
      <c r="AG70" s="1"/>
      <c r="AH70" s="1"/>
      <c r="AI70" s="1"/>
      <c r="AJ70" s="1"/>
      <c r="AK70" s="1"/>
      <c r="AL70" s="1"/>
      <c r="AM70" s="1"/>
      <c r="AN70" s="1"/>
      <c r="AO70" s="1"/>
      <c r="AP70" s="1">
        <v>2.0</v>
      </c>
      <c r="AQ70" s="1">
        <v>2142.251953</v>
      </c>
      <c r="AR70" s="1">
        <v>29.02799988</v>
      </c>
      <c r="AS70" s="5">
        <v>72.17603927</v>
      </c>
      <c r="AT70" s="5">
        <v>10.40592597</v>
      </c>
      <c r="AU70" s="5">
        <v>12.21725464</v>
      </c>
      <c r="AV70" s="5">
        <v>5.200780116</v>
      </c>
    </row>
    <row r="71">
      <c r="A71" s="1" t="s">
        <v>88</v>
      </c>
      <c r="B71" s="1">
        <v>3.0</v>
      </c>
      <c r="C71" s="1">
        <v>2225.728027</v>
      </c>
      <c r="D71" s="1">
        <f t="shared" si="4"/>
        <v>3000000</v>
      </c>
      <c r="E71" s="2">
        <f t="shared" si="1"/>
        <v>9.90799713</v>
      </c>
      <c r="F71" s="1">
        <v>90.09200287</v>
      </c>
      <c r="G71" s="4">
        <f t="shared" si="2"/>
        <v>2005.202958</v>
      </c>
      <c r="R71" s="5">
        <v>85.3419306</v>
      </c>
      <c r="S71" s="5">
        <f t="shared" si="3"/>
        <v>85</v>
      </c>
      <c r="T71" s="5">
        <v>7.735263103</v>
      </c>
      <c r="U71" s="5">
        <v>6.922808357</v>
      </c>
      <c r="V71" s="7" t="s">
        <v>19</v>
      </c>
      <c r="W71" s="7"/>
      <c r="X71" s="1">
        <v>44.74588901</v>
      </c>
      <c r="Y71" s="1">
        <v>10.51114859</v>
      </c>
      <c r="Z71" s="1">
        <v>44.7429624</v>
      </c>
      <c r="AA71" s="1" t="s">
        <v>19</v>
      </c>
      <c r="AB71" s="1"/>
      <c r="AC71" s="1">
        <v>89.80653917</v>
      </c>
      <c r="AD71" s="1">
        <v>7.42998076</v>
      </c>
      <c r="AE71" s="1">
        <v>2.763480072</v>
      </c>
      <c r="AF71" s="1" t="s">
        <v>19</v>
      </c>
      <c r="AG71" s="1"/>
      <c r="AH71" s="1"/>
      <c r="AI71" s="1"/>
      <c r="AJ71" s="1"/>
      <c r="AK71" s="1"/>
      <c r="AL71" s="1"/>
      <c r="AM71" s="1"/>
      <c r="AN71" s="1"/>
      <c r="AO71" s="1"/>
      <c r="AP71" s="1">
        <v>3.0</v>
      </c>
      <c r="AQ71" s="1">
        <v>2225.728027</v>
      </c>
      <c r="AR71" s="1">
        <v>90.09200287</v>
      </c>
      <c r="AS71" s="5">
        <v>85.3419306</v>
      </c>
      <c r="AT71" s="5">
        <v>7.735263103</v>
      </c>
      <c r="AU71" s="5">
        <v>6.922808357</v>
      </c>
      <c r="AV71" s="7" t="s">
        <v>19</v>
      </c>
    </row>
    <row r="72">
      <c r="A72" s="1" t="s">
        <v>89</v>
      </c>
      <c r="B72" s="1">
        <v>3.0</v>
      </c>
      <c r="C72" s="1">
        <v>2351.625</v>
      </c>
      <c r="D72" s="1">
        <f t="shared" si="4"/>
        <v>3000000</v>
      </c>
      <c r="E72" s="2">
        <f t="shared" si="1"/>
        <v>29.1230011</v>
      </c>
      <c r="F72" s="1">
        <v>70.8769989</v>
      </c>
      <c r="G72" s="4">
        <f t="shared" si="2"/>
        <v>1666.761225</v>
      </c>
      <c r="R72" s="5">
        <v>92.21356307</v>
      </c>
      <c r="S72" s="5">
        <f t="shared" si="3"/>
        <v>92</v>
      </c>
      <c r="T72" s="5">
        <v>4.72303897</v>
      </c>
      <c r="U72" s="5">
        <v>1.732526476</v>
      </c>
      <c r="V72" s="5">
        <v>1.330871481</v>
      </c>
      <c r="W72" s="5"/>
      <c r="X72" s="1">
        <v>79.04372386</v>
      </c>
      <c r="Y72" s="1">
        <v>15.15494718</v>
      </c>
      <c r="Z72" s="1">
        <v>1.596119156</v>
      </c>
      <c r="AA72" s="1">
        <v>4.20520981</v>
      </c>
      <c r="AB72" s="1"/>
      <c r="AC72" s="1">
        <v>97.62498058</v>
      </c>
      <c r="AD72" s="1">
        <v>0.4366200322</v>
      </c>
      <c r="AE72" s="1">
        <v>1.788579159</v>
      </c>
      <c r="AF72" s="1">
        <v>0.1498202281</v>
      </c>
      <c r="AG72" s="1"/>
      <c r="AH72" s="1"/>
      <c r="AI72" s="1"/>
      <c r="AJ72" s="1"/>
      <c r="AK72" s="1"/>
      <c r="AL72" s="1"/>
      <c r="AM72" s="1"/>
      <c r="AN72" s="1"/>
      <c r="AO72" s="1"/>
      <c r="AP72" s="1">
        <v>3.0</v>
      </c>
      <c r="AQ72" s="1">
        <v>2351.625</v>
      </c>
      <c r="AR72" s="1">
        <v>70.8769989</v>
      </c>
      <c r="AS72" s="5">
        <v>92.21356307</v>
      </c>
      <c r="AT72" s="5">
        <v>4.72303897</v>
      </c>
      <c r="AU72" s="5">
        <v>1.732526476</v>
      </c>
      <c r="AV72" s="5">
        <v>1.330871481</v>
      </c>
    </row>
    <row r="73">
      <c r="A73" s="1" t="s">
        <v>90</v>
      </c>
      <c r="B73" s="1">
        <v>1.0</v>
      </c>
      <c r="C73" s="1">
        <v>2416.664063</v>
      </c>
      <c r="D73" s="1">
        <f t="shared" si="4"/>
        <v>3000000</v>
      </c>
      <c r="E73" s="2">
        <f t="shared" si="1"/>
        <v>37.41800308</v>
      </c>
      <c r="F73" s="1">
        <v>62.58199692</v>
      </c>
      <c r="G73" s="4">
        <f t="shared" si="2"/>
        <v>1512.396629</v>
      </c>
      <c r="R73" s="5">
        <v>80.94040714</v>
      </c>
      <c r="S73" s="5">
        <f t="shared" si="3"/>
        <v>81</v>
      </c>
      <c r="T73" s="5">
        <v>8.597391391</v>
      </c>
      <c r="U73" s="5">
        <v>10.35285207</v>
      </c>
      <c r="V73" s="5">
        <v>0.1093493927</v>
      </c>
      <c r="W73" s="5"/>
      <c r="X73" s="1">
        <v>69.18852321</v>
      </c>
      <c r="Y73" s="1">
        <v>16.49783239</v>
      </c>
      <c r="Z73" s="1">
        <v>14.24376547</v>
      </c>
      <c r="AA73" s="1">
        <v>0.0698789368</v>
      </c>
      <c r="AB73" s="1"/>
      <c r="AC73" s="1">
        <v>87.96690427</v>
      </c>
      <c r="AD73" s="1">
        <v>3.873689522</v>
      </c>
      <c r="AE73" s="1">
        <v>8.026457278</v>
      </c>
      <c r="AF73" s="1">
        <v>0.1329489253</v>
      </c>
      <c r="AG73" s="1"/>
      <c r="AH73" s="1"/>
      <c r="AI73" s="1"/>
      <c r="AJ73" s="1"/>
      <c r="AK73" s="1"/>
      <c r="AL73" s="1"/>
      <c r="AM73" s="1"/>
      <c r="AN73" s="1"/>
      <c r="AO73" s="1"/>
      <c r="AP73" s="1">
        <v>1.0</v>
      </c>
      <c r="AQ73" s="1">
        <v>2416.664063</v>
      </c>
      <c r="AR73" s="1">
        <v>62.58199692</v>
      </c>
      <c r="AS73" s="5">
        <v>80.94040714</v>
      </c>
      <c r="AT73" s="5">
        <v>8.597391391</v>
      </c>
      <c r="AU73" s="5">
        <v>10.35285207</v>
      </c>
      <c r="AV73" s="5">
        <v>0.1093493927</v>
      </c>
    </row>
    <row r="74">
      <c r="A74" s="1" t="s">
        <v>91</v>
      </c>
      <c r="B74" s="1">
        <v>3.0</v>
      </c>
      <c r="C74" s="1">
        <v>2540.916016</v>
      </c>
      <c r="D74" s="1">
        <f t="shared" si="4"/>
        <v>3000000</v>
      </c>
      <c r="E74" s="2">
        <f t="shared" si="1"/>
        <v>47.96699905</v>
      </c>
      <c r="F74" s="1">
        <v>52.03300095</v>
      </c>
      <c r="G74" s="4">
        <f t="shared" si="2"/>
        <v>1322.114855</v>
      </c>
      <c r="R74" s="5">
        <v>84.27003628</v>
      </c>
      <c r="S74" s="5">
        <f t="shared" si="3"/>
        <v>84</v>
      </c>
      <c r="T74" s="5">
        <v>7.08762751</v>
      </c>
      <c r="U74" s="5">
        <v>3.740143722</v>
      </c>
      <c r="V74" s="5">
        <v>4.902192485</v>
      </c>
      <c r="W74" s="5"/>
      <c r="X74" s="1">
        <v>71.25616743</v>
      </c>
      <c r="Y74" s="1">
        <v>11.97218925</v>
      </c>
      <c r="Z74" s="1">
        <v>7.081803759</v>
      </c>
      <c r="AA74" s="1">
        <v>9.689839563</v>
      </c>
      <c r="AB74" s="1"/>
      <c r="AC74" s="1">
        <v>96.26696535</v>
      </c>
      <c r="AD74" s="1">
        <v>2.584758965</v>
      </c>
      <c r="AE74" s="1">
        <v>0.6596102638</v>
      </c>
      <c r="AF74" s="1">
        <v>0.4886654211</v>
      </c>
      <c r="AG74" s="1"/>
      <c r="AH74" s="1"/>
      <c r="AI74" s="1"/>
      <c r="AJ74" s="1"/>
      <c r="AK74" s="1"/>
      <c r="AL74" s="1"/>
      <c r="AM74" s="1"/>
      <c r="AN74" s="1"/>
      <c r="AO74" s="1"/>
      <c r="AP74" s="1">
        <v>3.0</v>
      </c>
      <c r="AQ74" s="1">
        <v>2540.916016</v>
      </c>
      <c r="AR74" s="1">
        <v>52.03300095</v>
      </c>
      <c r="AS74" s="5">
        <v>84.27003628</v>
      </c>
      <c r="AT74" s="5">
        <v>7.08762751</v>
      </c>
      <c r="AU74" s="5">
        <v>3.740143722</v>
      </c>
      <c r="AV74" s="5">
        <v>4.902192485</v>
      </c>
    </row>
    <row r="75">
      <c r="A75" s="1" t="s">
        <v>92</v>
      </c>
      <c r="B75" s="1">
        <v>4.0</v>
      </c>
      <c r="C75" s="1">
        <v>2722.291016</v>
      </c>
      <c r="D75" s="1">
        <f t="shared" si="4"/>
        <v>3000000</v>
      </c>
      <c r="E75" s="2">
        <f t="shared" si="1"/>
        <v>31.95400238</v>
      </c>
      <c r="F75" s="1">
        <v>68.04599762</v>
      </c>
      <c r="G75" s="4">
        <f t="shared" si="2"/>
        <v>1852.41008</v>
      </c>
      <c r="R75" s="5">
        <v>98.01334724</v>
      </c>
      <c r="S75" s="5">
        <f t="shared" si="3"/>
        <v>98</v>
      </c>
      <c r="T75" s="5">
        <v>0.0</v>
      </c>
      <c r="U75" s="5">
        <v>1.98665276</v>
      </c>
      <c r="V75" s="5">
        <v>0.0</v>
      </c>
      <c r="W75" s="5"/>
      <c r="X75" s="1">
        <v>93.78278023</v>
      </c>
      <c r="Y75" s="1">
        <v>0.0</v>
      </c>
      <c r="Z75" s="1">
        <v>6.217219771</v>
      </c>
      <c r="AA75" s="1">
        <v>0.0</v>
      </c>
      <c r="AB75" s="1"/>
      <c r="AC75" s="1">
        <v>100.0</v>
      </c>
      <c r="AD75" s="1">
        <v>0.0</v>
      </c>
      <c r="AE75" s="1">
        <v>0.0</v>
      </c>
      <c r="AF75" s="1">
        <v>0.0</v>
      </c>
      <c r="AG75" s="1"/>
      <c r="AH75" s="1"/>
      <c r="AI75" s="1"/>
      <c r="AJ75" s="1"/>
      <c r="AK75" s="1"/>
      <c r="AL75" s="1"/>
      <c r="AM75" s="1"/>
      <c r="AN75" s="1"/>
      <c r="AO75" s="1"/>
      <c r="AP75" s="1">
        <v>4.0</v>
      </c>
      <c r="AQ75" s="1">
        <v>2722.291016</v>
      </c>
      <c r="AR75" s="1">
        <v>68.04599762</v>
      </c>
      <c r="AS75" s="5">
        <v>98.01334724</v>
      </c>
      <c r="AT75" s="5">
        <v>0.0</v>
      </c>
      <c r="AU75" s="5">
        <v>1.98665276</v>
      </c>
      <c r="AV75" s="5">
        <v>0.0</v>
      </c>
    </row>
    <row r="76">
      <c r="A76" s="1" t="s">
        <v>93</v>
      </c>
      <c r="B76" s="1">
        <v>4.0</v>
      </c>
      <c r="C76" s="1">
        <v>2860.840088</v>
      </c>
      <c r="D76" s="1">
        <f t="shared" si="4"/>
        <v>3000000</v>
      </c>
      <c r="E76" s="2">
        <f t="shared" si="1"/>
        <v>6.41899872</v>
      </c>
      <c r="F76" s="1">
        <v>93.58100128</v>
      </c>
      <c r="G76" s="4">
        <f t="shared" si="2"/>
        <v>2677.202799</v>
      </c>
      <c r="R76" s="5">
        <v>100.0</v>
      </c>
      <c r="S76" s="5">
        <f t="shared" si="3"/>
        <v>100</v>
      </c>
      <c r="T76" s="5">
        <v>0.0</v>
      </c>
      <c r="U76" s="5">
        <v>0.0</v>
      </c>
      <c r="V76" s="5">
        <v>0.0</v>
      </c>
      <c r="W76" s="5"/>
      <c r="X76" s="1" t="s">
        <v>19</v>
      </c>
      <c r="Y76" s="1" t="s">
        <v>19</v>
      </c>
      <c r="Z76" s="1" t="s">
        <v>19</v>
      </c>
      <c r="AA76" s="1" t="s">
        <v>19</v>
      </c>
      <c r="AB76" s="1"/>
      <c r="AC76" s="1" t="s">
        <v>19</v>
      </c>
      <c r="AD76" s="1" t="s">
        <v>19</v>
      </c>
      <c r="AE76" s="1" t="s">
        <v>19</v>
      </c>
      <c r="AF76" s="1" t="s">
        <v>19</v>
      </c>
      <c r="AG76" s="1"/>
      <c r="AH76" s="1"/>
      <c r="AI76" s="1"/>
      <c r="AJ76" s="1"/>
      <c r="AK76" s="1"/>
      <c r="AL76" s="1"/>
      <c r="AM76" s="1"/>
      <c r="AN76" s="1"/>
      <c r="AO76" s="1"/>
      <c r="AP76" s="1">
        <v>4.0</v>
      </c>
      <c r="AQ76" s="1">
        <v>2860.840088</v>
      </c>
      <c r="AR76" s="1">
        <v>93.58100128</v>
      </c>
      <c r="AS76" s="5">
        <v>100.0</v>
      </c>
      <c r="AT76" s="5">
        <v>0.0</v>
      </c>
      <c r="AU76" s="5">
        <v>0.0</v>
      </c>
      <c r="AV76" s="5">
        <v>0.0</v>
      </c>
    </row>
    <row r="77">
      <c r="A77" s="1" t="s">
        <v>94</v>
      </c>
      <c r="B77" s="1">
        <v>3.0</v>
      </c>
      <c r="C77" s="1">
        <v>2877.800049</v>
      </c>
      <c r="D77" s="1">
        <f t="shared" si="4"/>
        <v>3000000</v>
      </c>
      <c r="E77" s="2">
        <f t="shared" si="1"/>
        <v>37.88800049</v>
      </c>
      <c r="F77" s="1">
        <v>62.11199951</v>
      </c>
      <c r="G77" s="4">
        <f t="shared" si="2"/>
        <v>1787.459152</v>
      </c>
      <c r="R77" s="5">
        <v>95.06803883</v>
      </c>
      <c r="S77" s="5">
        <f t="shared" si="3"/>
        <v>95</v>
      </c>
      <c r="T77" s="5">
        <v>1.884656092</v>
      </c>
      <c r="U77" s="5">
        <v>3.047305081</v>
      </c>
      <c r="V77" s="5">
        <v>0.0</v>
      </c>
      <c r="W77" s="5"/>
      <c r="X77" s="1">
        <v>94.09135806</v>
      </c>
      <c r="Y77" s="1">
        <v>2.305264955</v>
      </c>
      <c r="Z77" s="1">
        <v>3.603376986</v>
      </c>
      <c r="AA77" s="1">
        <v>0.0</v>
      </c>
      <c r="AB77" s="1"/>
      <c r="AC77" s="1">
        <v>95.66380912</v>
      </c>
      <c r="AD77" s="1">
        <v>1.62808683</v>
      </c>
      <c r="AE77" s="1">
        <v>2.708104054</v>
      </c>
      <c r="AF77" s="1">
        <v>0.0</v>
      </c>
      <c r="AG77" s="1"/>
      <c r="AH77" s="1"/>
      <c r="AI77" s="1"/>
      <c r="AJ77" s="1"/>
      <c r="AK77" s="1"/>
      <c r="AL77" s="1"/>
      <c r="AM77" s="1"/>
      <c r="AN77" s="1"/>
      <c r="AO77" s="1"/>
      <c r="AP77" s="1">
        <v>3.0</v>
      </c>
      <c r="AQ77" s="1">
        <v>2877.800049</v>
      </c>
      <c r="AR77" s="1">
        <v>62.11199951</v>
      </c>
      <c r="AS77" s="5">
        <v>95.06803883</v>
      </c>
      <c r="AT77" s="5">
        <v>1.884656092</v>
      </c>
      <c r="AU77" s="5">
        <v>3.047305081</v>
      </c>
      <c r="AV77" s="5">
        <v>0.0</v>
      </c>
    </row>
    <row r="78">
      <c r="A78" s="1" t="s">
        <v>95</v>
      </c>
      <c r="B78" s="1">
        <v>4.0</v>
      </c>
      <c r="C78" s="1">
        <v>2881.060059</v>
      </c>
      <c r="D78" s="1">
        <f t="shared" si="4"/>
        <v>3000000</v>
      </c>
      <c r="E78" s="2">
        <f t="shared" si="1"/>
        <v>0.76499939</v>
      </c>
      <c r="F78" s="1">
        <v>99.23500061</v>
      </c>
      <c r="G78" s="4">
        <f t="shared" si="2"/>
        <v>2859.019967</v>
      </c>
      <c r="R78" s="5">
        <v>99.56810194</v>
      </c>
      <c r="S78" s="5">
        <f t="shared" si="3"/>
        <v>100</v>
      </c>
      <c r="T78" s="5">
        <v>0.0</v>
      </c>
      <c r="U78" s="5">
        <v>0.4318980637</v>
      </c>
      <c r="V78" s="5">
        <v>0.0</v>
      </c>
      <c r="W78" s="5"/>
      <c r="X78" s="1" t="s">
        <v>19</v>
      </c>
      <c r="Y78" s="1" t="s">
        <v>19</v>
      </c>
      <c r="Z78" s="1" t="s">
        <v>19</v>
      </c>
      <c r="AA78" s="1" t="s">
        <v>19</v>
      </c>
      <c r="AB78" s="1"/>
      <c r="AC78" s="1" t="s">
        <v>19</v>
      </c>
      <c r="AD78" s="1" t="s">
        <v>19</v>
      </c>
      <c r="AE78" s="1" t="s">
        <v>19</v>
      </c>
      <c r="AF78" s="1" t="s">
        <v>19</v>
      </c>
      <c r="AG78" s="1"/>
      <c r="AH78" s="1"/>
      <c r="AI78" s="1"/>
      <c r="AJ78" s="1"/>
      <c r="AK78" s="1"/>
      <c r="AL78" s="1"/>
      <c r="AM78" s="1"/>
      <c r="AN78" s="1"/>
      <c r="AO78" s="1"/>
      <c r="AP78" s="1">
        <v>4.0</v>
      </c>
      <c r="AQ78" s="1">
        <v>2881.060059</v>
      </c>
      <c r="AR78" s="1">
        <v>99.23500061</v>
      </c>
      <c r="AS78" s="5">
        <v>99.56810194</v>
      </c>
      <c r="AT78" s="5">
        <v>0.0</v>
      </c>
      <c r="AU78" s="5">
        <v>0.4318980637</v>
      </c>
      <c r="AV78" s="5">
        <v>0.0</v>
      </c>
    </row>
    <row r="79">
      <c r="A79" s="1" t="s">
        <v>96</v>
      </c>
      <c r="B79" s="1">
        <v>3.0</v>
      </c>
      <c r="C79" s="1">
        <v>2961.160889</v>
      </c>
      <c r="D79" s="1">
        <f t="shared" si="4"/>
        <v>3000000</v>
      </c>
      <c r="E79" s="2">
        <f t="shared" si="1"/>
        <v>43.68899918</v>
      </c>
      <c r="F79" s="1">
        <v>56.31100082</v>
      </c>
      <c r="G79" s="4">
        <f t="shared" si="2"/>
        <v>1667.459332</v>
      </c>
      <c r="R79" s="5">
        <v>91.0299445</v>
      </c>
      <c r="S79" s="5">
        <f t="shared" si="3"/>
        <v>91</v>
      </c>
      <c r="T79" s="5">
        <v>5.367570914</v>
      </c>
      <c r="U79" s="5">
        <v>1.864010203</v>
      </c>
      <c r="V79" s="5">
        <v>1.738474379</v>
      </c>
      <c r="W79" s="5"/>
      <c r="X79" s="1">
        <v>85.39991216</v>
      </c>
      <c r="Y79" s="1">
        <v>8.490737371</v>
      </c>
      <c r="Z79" s="1">
        <v>2.568971895</v>
      </c>
      <c r="AA79" s="1">
        <v>3.540378574</v>
      </c>
      <c r="AB79" s="1"/>
      <c r="AC79" s="1">
        <v>95.39801591</v>
      </c>
      <c r="AD79" s="1">
        <v>2.944456223</v>
      </c>
      <c r="AE79" s="1">
        <v>1.317064322</v>
      </c>
      <c r="AF79" s="1">
        <v>0.34046355</v>
      </c>
      <c r="AG79" s="1"/>
      <c r="AH79" s="1"/>
      <c r="AI79" s="1"/>
      <c r="AJ79" s="1"/>
      <c r="AK79" s="1"/>
      <c r="AL79" s="1"/>
      <c r="AM79" s="1"/>
      <c r="AN79" s="1"/>
      <c r="AO79" s="1"/>
      <c r="AP79" s="1">
        <v>3.0</v>
      </c>
      <c r="AQ79" s="1">
        <v>2961.160889</v>
      </c>
      <c r="AR79" s="1">
        <v>56.31100082</v>
      </c>
      <c r="AS79" s="5">
        <v>91.0299445</v>
      </c>
      <c r="AT79" s="5">
        <v>5.367570914</v>
      </c>
      <c r="AU79" s="5">
        <v>1.864010203</v>
      </c>
      <c r="AV79" s="5">
        <v>1.738474379</v>
      </c>
    </row>
    <row r="80">
      <c r="A80" s="1" t="s">
        <v>97</v>
      </c>
      <c r="B80" s="1">
        <v>3.0</v>
      </c>
      <c r="C80" s="1">
        <v>2963.233887</v>
      </c>
      <c r="D80" s="1">
        <f t="shared" si="4"/>
        <v>3000000</v>
      </c>
      <c r="E80" s="2">
        <f t="shared" si="1"/>
        <v>36.68700027</v>
      </c>
      <c r="F80" s="1">
        <v>63.31299973</v>
      </c>
      <c r="G80" s="4">
        <f t="shared" si="2"/>
        <v>1876.112263</v>
      </c>
      <c r="R80" s="5">
        <v>99.97118069</v>
      </c>
      <c r="S80" s="5">
        <f t="shared" si="3"/>
        <v>100</v>
      </c>
      <c r="T80" s="5">
        <v>0.0</v>
      </c>
      <c r="U80" s="5">
        <v>0.02881930801</v>
      </c>
      <c r="V80" s="5">
        <v>0.0</v>
      </c>
      <c r="W80" s="5"/>
      <c r="X80" s="1">
        <v>100.0</v>
      </c>
      <c r="Y80" s="1">
        <v>0.0</v>
      </c>
      <c r="Z80" s="1">
        <v>0.0</v>
      </c>
      <c r="AA80" s="1">
        <v>0.0</v>
      </c>
      <c r="AB80" s="1"/>
      <c r="AC80" s="1">
        <v>99.95448122</v>
      </c>
      <c r="AD80" s="1">
        <v>0.0</v>
      </c>
      <c r="AE80" s="1">
        <v>0.04551878364</v>
      </c>
      <c r="AF80" s="1">
        <v>0.0</v>
      </c>
      <c r="AG80" s="1"/>
      <c r="AH80" s="1"/>
      <c r="AI80" s="1"/>
      <c r="AJ80" s="1"/>
      <c r="AK80" s="1"/>
      <c r="AL80" s="1"/>
      <c r="AM80" s="1"/>
      <c r="AN80" s="1"/>
      <c r="AO80" s="1"/>
      <c r="AP80" s="1">
        <v>3.0</v>
      </c>
      <c r="AQ80" s="1">
        <v>2963.233887</v>
      </c>
      <c r="AR80" s="1">
        <v>63.31299973</v>
      </c>
      <c r="AS80" s="5">
        <v>99.97118069</v>
      </c>
      <c r="AT80" s="5">
        <v>0.0</v>
      </c>
      <c r="AU80" s="5">
        <v>0.02881930801</v>
      </c>
      <c r="AV80" s="5">
        <v>0.0</v>
      </c>
    </row>
    <row r="81">
      <c r="A81" s="1" t="s">
        <v>98</v>
      </c>
      <c r="B81" s="1">
        <v>2.0</v>
      </c>
      <c r="C81" s="1">
        <v>3278.291992</v>
      </c>
      <c r="D81" s="1">
        <f t="shared" si="4"/>
        <v>4000000</v>
      </c>
      <c r="E81" s="2">
        <f t="shared" si="1"/>
        <v>31.34300232</v>
      </c>
      <c r="F81" s="1">
        <v>68.65699768</v>
      </c>
      <c r="G81" s="4">
        <f t="shared" si="2"/>
        <v>2250.776857</v>
      </c>
      <c r="R81" s="5">
        <v>85.49562527</v>
      </c>
      <c r="S81" s="5">
        <f t="shared" si="3"/>
        <v>85</v>
      </c>
      <c r="T81" s="5">
        <v>2.14642893</v>
      </c>
      <c r="U81" s="5">
        <v>6.633366714</v>
      </c>
      <c r="V81" s="5">
        <v>5.724579081</v>
      </c>
      <c r="W81" s="5"/>
      <c r="X81" s="1">
        <v>61.07075114</v>
      </c>
      <c r="Y81" s="1">
        <v>3.084170572</v>
      </c>
      <c r="Z81" s="1">
        <v>17.58078116</v>
      </c>
      <c r="AA81" s="1">
        <v>18.26429713</v>
      </c>
      <c r="AB81" s="1"/>
      <c r="AC81" s="1">
        <v>96.64596558</v>
      </c>
      <c r="AD81" s="1">
        <v>1.718335079</v>
      </c>
      <c r="AE81" s="1">
        <v>1.635699341</v>
      </c>
      <c r="AF81" s="1">
        <v>0.0</v>
      </c>
      <c r="AG81" s="1"/>
      <c r="AH81" s="1"/>
      <c r="AI81" s="1"/>
      <c r="AJ81" s="1"/>
      <c r="AK81" s="1"/>
      <c r="AL81" s="1"/>
      <c r="AM81" s="1"/>
      <c r="AN81" s="1"/>
      <c r="AO81" s="1"/>
      <c r="AP81" s="1">
        <v>2.0</v>
      </c>
      <c r="AQ81" s="1">
        <v>3278.291992</v>
      </c>
      <c r="AR81" s="1">
        <v>68.65699768</v>
      </c>
      <c r="AS81" s="5">
        <v>85.49562527</v>
      </c>
      <c r="AT81" s="5">
        <v>2.14642893</v>
      </c>
      <c r="AU81" s="5">
        <v>6.633366714</v>
      </c>
      <c r="AV81" s="5">
        <v>5.724579081</v>
      </c>
    </row>
    <row r="82">
      <c r="A82" s="1" t="s">
        <v>99</v>
      </c>
      <c r="B82" s="1">
        <v>3.0</v>
      </c>
      <c r="C82" s="1">
        <v>3280.814941</v>
      </c>
      <c r="D82" s="1">
        <f t="shared" si="4"/>
        <v>4000000</v>
      </c>
      <c r="E82" s="2">
        <f t="shared" si="1"/>
        <v>50.97999954</v>
      </c>
      <c r="F82" s="1">
        <v>49.02000046</v>
      </c>
      <c r="G82" s="4">
        <f t="shared" si="2"/>
        <v>1608.255499</v>
      </c>
      <c r="R82" s="5">
        <v>96.11389762</v>
      </c>
      <c r="S82" s="5">
        <f t="shared" si="3"/>
        <v>96</v>
      </c>
      <c r="T82" s="5">
        <v>3.823663938</v>
      </c>
      <c r="U82" s="5">
        <v>0.06243843752</v>
      </c>
      <c r="V82" s="5">
        <v>0.0</v>
      </c>
      <c r="W82" s="5"/>
      <c r="X82" s="1">
        <v>97.33333333</v>
      </c>
      <c r="Y82" s="1">
        <v>2.666666667</v>
      </c>
      <c r="Z82" s="1">
        <v>0.0</v>
      </c>
      <c r="AA82" s="1">
        <v>0.0</v>
      </c>
      <c r="AB82" s="1"/>
      <c r="AC82" s="1">
        <v>94.8457044</v>
      </c>
      <c r="AD82" s="1">
        <v>5.026922206</v>
      </c>
      <c r="AE82" s="1">
        <v>0.1273733928</v>
      </c>
      <c r="AF82" s="1">
        <v>0.0</v>
      </c>
      <c r="AG82" s="1"/>
      <c r="AH82" s="1"/>
      <c r="AI82" s="1"/>
      <c r="AJ82" s="1"/>
      <c r="AK82" s="1"/>
      <c r="AL82" s="1"/>
      <c r="AM82" s="1"/>
      <c r="AN82" s="1"/>
      <c r="AO82" s="1"/>
      <c r="AP82" s="1">
        <v>3.0</v>
      </c>
      <c r="AQ82" s="1">
        <v>3280.814941</v>
      </c>
      <c r="AR82" s="1">
        <v>49.02000046</v>
      </c>
      <c r="AS82" s="5">
        <v>96.11389762</v>
      </c>
      <c r="AT82" s="5">
        <v>3.823663938</v>
      </c>
      <c r="AU82" s="5">
        <v>0.06243843752</v>
      </c>
      <c r="AV82" s="5">
        <v>0.0</v>
      </c>
    </row>
    <row r="83">
      <c r="A83" s="1" t="s">
        <v>100</v>
      </c>
      <c r="B83" s="1">
        <v>4.0</v>
      </c>
      <c r="C83" s="1">
        <v>3473.727051</v>
      </c>
      <c r="D83" s="1">
        <f t="shared" si="4"/>
        <v>4000000</v>
      </c>
      <c r="E83" s="2">
        <f t="shared" si="1"/>
        <v>4.48500061</v>
      </c>
      <c r="F83" s="1">
        <v>95.51499939</v>
      </c>
      <c r="G83" s="4">
        <f t="shared" si="2"/>
        <v>3317.930372</v>
      </c>
      <c r="R83" s="5">
        <v>99.49575756</v>
      </c>
      <c r="S83" s="5">
        <f t="shared" si="3"/>
        <v>99</v>
      </c>
      <c r="T83" s="5">
        <v>0.5042424412</v>
      </c>
      <c r="U83" s="5">
        <v>0.0</v>
      </c>
      <c r="V83" s="5">
        <v>0.0</v>
      </c>
      <c r="W83" s="5"/>
      <c r="X83" s="1">
        <v>95.30083</v>
      </c>
      <c r="Y83" s="1">
        <v>4.69917</v>
      </c>
      <c r="Z83" s="1">
        <v>0.0</v>
      </c>
      <c r="AA83" s="1">
        <v>0.0</v>
      </c>
      <c r="AB83" s="1"/>
      <c r="AC83" s="1">
        <v>99.69273444</v>
      </c>
      <c r="AD83" s="1">
        <v>0.3072655617</v>
      </c>
      <c r="AE83" s="1">
        <v>0.0</v>
      </c>
      <c r="AF83" s="1">
        <v>0.0</v>
      </c>
      <c r="AG83" s="1"/>
      <c r="AH83" s="1"/>
      <c r="AI83" s="1"/>
      <c r="AJ83" s="1"/>
      <c r="AK83" s="1"/>
      <c r="AL83" s="1"/>
      <c r="AM83" s="1"/>
      <c r="AN83" s="1"/>
      <c r="AO83" s="1"/>
      <c r="AP83" s="1">
        <v>4.0</v>
      </c>
      <c r="AQ83" s="1">
        <v>3473.727051</v>
      </c>
      <c r="AR83" s="1">
        <v>95.51499939</v>
      </c>
      <c r="AS83" s="5">
        <v>99.49575756</v>
      </c>
      <c r="AT83" s="5">
        <v>0.5042424412</v>
      </c>
      <c r="AU83" s="5">
        <v>0.0</v>
      </c>
      <c r="AV83" s="5">
        <v>0.0</v>
      </c>
    </row>
    <row r="84">
      <c r="A84" s="1" t="s">
        <v>101</v>
      </c>
      <c r="B84" s="1">
        <v>3.0</v>
      </c>
      <c r="C84" s="1">
        <v>3989.175049</v>
      </c>
      <c r="D84" s="1">
        <f t="shared" si="4"/>
        <v>4000000</v>
      </c>
      <c r="E84" s="2">
        <f t="shared" si="1"/>
        <v>40.5470047</v>
      </c>
      <c r="F84" s="1">
        <v>59.4529953</v>
      </c>
      <c r="G84" s="4">
        <f t="shared" si="2"/>
        <v>2371.684054</v>
      </c>
      <c r="R84" s="5">
        <v>97.3481397</v>
      </c>
      <c r="S84" s="5">
        <f t="shared" si="3"/>
        <v>97</v>
      </c>
      <c r="T84" s="5">
        <v>0.0</v>
      </c>
      <c r="U84" s="5">
        <v>2.632761379</v>
      </c>
      <c r="V84" s="5">
        <v>0.01909892327</v>
      </c>
      <c r="W84" s="5"/>
      <c r="X84" s="1">
        <v>94.2718842</v>
      </c>
      <c r="Y84" s="1">
        <v>0.0</v>
      </c>
      <c r="Z84" s="1">
        <v>5.703923618</v>
      </c>
      <c r="AA84" s="1">
        <v>0.02419218345</v>
      </c>
      <c r="AB84" s="1"/>
      <c r="AC84" s="1">
        <v>99.44615394</v>
      </c>
      <c r="AD84" s="1">
        <v>0.0</v>
      </c>
      <c r="AE84" s="1">
        <v>0.538220742</v>
      </c>
      <c r="AF84" s="1">
        <v>0.01562531586</v>
      </c>
      <c r="AG84" s="1"/>
      <c r="AH84" s="1"/>
      <c r="AI84" s="1"/>
      <c r="AJ84" s="1"/>
      <c r="AK84" s="1"/>
      <c r="AL84" s="1"/>
      <c r="AM84" s="1"/>
      <c r="AN84" s="1"/>
      <c r="AO84" s="1"/>
      <c r="AP84" s="1">
        <v>3.0</v>
      </c>
      <c r="AQ84" s="1">
        <v>3989.175049</v>
      </c>
      <c r="AR84" s="1">
        <v>59.4529953</v>
      </c>
      <c r="AS84" s="5">
        <v>97.3481397</v>
      </c>
      <c r="AT84" s="5">
        <v>0.0</v>
      </c>
      <c r="AU84" s="5">
        <v>2.632761379</v>
      </c>
      <c r="AV84" s="5">
        <v>0.01909892327</v>
      </c>
    </row>
    <row r="85">
      <c r="A85" s="1" t="s">
        <v>102</v>
      </c>
      <c r="B85" s="1">
        <v>3.0</v>
      </c>
      <c r="C85" s="1">
        <v>4033.962891</v>
      </c>
      <c r="D85" s="1">
        <f t="shared" si="4"/>
        <v>5000000</v>
      </c>
      <c r="E85" s="2">
        <f t="shared" si="1"/>
        <v>57.15099716</v>
      </c>
      <c r="F85" s="1">
        <v>42.84900284</v>
      </c>
      <c r="G85" s="4">
        <f t="shared" si="2"/>
        <v>1728.512874</v>
      </c>
      <c r="R85" s="5">
        <v>90.56996224</v>
      </c>
      <c r="S85" s="5">
        <f t="shared" si="3"/>
        <v>91</v>
      </c>
      <c r="T85" s="5">
        <v>1.519776762</v>
      </c>
      <c r="U85" s="5">
        <v>7.910260997</v>
      </c>
      <c r="V85" s="5">
        <v>0.0</v>
      </c>
      <c r="W85" s="5"/>
      <c r="X85" s="1">
        <v>85.48103812</v>
      </c>
      <c r="Y85" s="1">
        <v>1.52256302</v>
      </c>
      <c r="Z85" s="1">
        <v>12.99639886</v>
      </c>
      <c r="AA85" s="1">
        <v>0.0</v>
      </c>
      <c r="AB85" s="1"/>
      <c r="AC85" s="1">
        <v>97.35744448</v>
      </c>
      <c r="AD85" s="1">
        <v>1.516060408</v>
      </c>
      <c r="AE85" s="1">
        <v>1.126495111</v>
      </c>
      <c r="AF85" s="1">
        <v>0.0</v>
      </c>
      <c r="AG85" s="1"/>
      <c r="AH85" s="1"/>
      <c r="AI85" s="1"/>
      <c r="AJ85" s="1"/>
      <c r="AK85" s="1"/>
      <c r="AL85" s="1"/>
      <c r="AM85" s="1"/>
      <c r="AN85" s="1"/>
      <c r="AO85" s="1"/>
      <c r="AP85" s="1">
        <v>3.0</v>
      </c>
      <c r="AQ85" s="1">
        <v>4033.962891</v>
      </c>
      <c r="AR85" s="1">
        <v>42.84900284</v>
      </c>
      <c r="AS85" s="5">
        <v>90.56996224</v>
      </c>
      <c r="AT85" s="5">
        <v>1.519776762</v>
      </c>
      <c r="AU85" s="5">
        <v>7.910260997</v>
      </c>
      <c r="AV85" s="5">
        <v>0.0</v>
      </c>
    </row>
    <row r="86">
      <c r="A86" s="1" t="s">
        <v>103</v>
      </c>
      <c r="B86" s="1">
        <v>4.0</v>
      </c>
      <c r="C86" s="1">
        <v>4105.268066</v>
      </c>
      <c r="D86" s="1">
        <f t="shared" si="4"/>
        <v>5000000</v>
      </c>
      <c r="E86" s="2">
        <f t="shared" si="1"/>
        <v>42.44700241</v>
      </c>
      <c r="F86" s="1">
        <v>57.55299759</v>
      </c>
      <c r="G86" s="4">
        <f t="shared" si="2"/>
        <v>2362.704831</v>
      </c>
      <c r="R86" s="7" t="s">
        <v>19</v>
      </c>
      <c r="S86" s="8" t="s">
        <v>19</v>
      </c>
      <c r="T86" s="7" t="s">
        <v>19</v>
      </c>
      <c r="U86" s="7" t="s">
        <v>19</v>
      </c>
      <c r="V86" s="7" t="s">
        <v>19</v>
      </c>
      <c r="W86" s="7"/>
      <c r="X86" s="1" t="s">
        <v>19</v>
      </c>
      <c r="Y86" s="1" t="s">
        <v>19</v>
      </c>
      <c r="Z86" s="1" t="s">
        <v>19</v>
      </c>
      <c r="AA86" s="1" t="s">
        <v>19</v>
      </c>
      <c r="AB86" s="1"/>
      <c r="AC86" s="1">
        <v>100.0</v>
      </c>
      <c r="AD86" s="1">
        <v>0.0</v>
      </c>
      <c r="AE86" s="1">
        <v>0.0</v>
      </c>
      <c r="AF86" s="1">
        <v>0.0</v>
      </c>
      <c r="AG86" s="1"/>
      <c r="AH86" s="1"/>
      <c r="AI86" s="1"/>
      <c r="AJ86" s="1"/>
      <c r="AK86" s="1"/>
      <c r="AL86" s="1"/>
      <c r="AM86" s="1"/>
      <c r="AN86" s="1"/>
      <c r="AO86" s="1"/>
      <c r="AP86" s="1">
        <v>4.0</v>
      </c>
      <c r="AQ86" s="1">
        <v>4105.268066</v>
      </c>
      <c r="AR86" s="1">
        <v>57.55299759</v>
      </c>
      <c r="AS86" s="7" t="s">
        <v>19</v>
      </c>
      <c r="AT86" s="7" t="s">
        <v>19</v>
      </c>
      <c r="AU86" s="7" t="s">
        <v>19</v>
      </c>
      <c r="AV86" s="7" t="s">
        <v>19</v>
      </c>
    </row>
    <row r="87">
      <c r="A87" s="1" t="s">
        <v>104</v>
      </c>
      <c r="B87" s="1">
        <v>4.0</v>
      </c>
      <c r="C87" s="1">
        <v>4270.562988</v>
      </c>
      <c r="D87" s="1">
        <f t="shared" si="4"/>
        <v>5000000</v>
      </c>
      <c r="E87" s="2">
        <f t="shared" si="1"/>
        <v>0</v>
      </c>
      <c r="F87" s="1">
        <v>100.0</v>
      </c>
      <c r="G87" s="4">
        <f t="shared" si="2"/>
        <v>4270.562988</v>
      </c>
      <c r="R87" s="5">
        <v>100.0</v>
      </c>
      <c r="S87" s="5">
        <f t="shared" ref="S87:S182" si="5">ROUND(R87,0)</f>
        <v>100</v>
      </c>
      <c r="T87" s="5">
        <v>0.0</v>
      </c>
      <c r="U87" s="5">
        <v>0.0</v>
      </c>
      <c r="V87" s="5">
        <v>0.0</v>
      </c>
      <c r="W87" s="5"/>
      <c r="X87" s="1" t="s">
        <v>19</v>
      </c>
      <c r="Y87" s="1" t="s">
        <v>19</v>
      </c>
      <c r="Z87" s="1" t="s">
        <v>19</v>
      </c>
      <c r="AA87" s="1" t="s">
        <v>19</v>
      </c>
      <c r="AB87" s="1"/>
      <c r="AC87" s="1" t="s">
        <v>19</v>
      </c>
      <c r="AD87" s="1" t="s">
        <v>19</v>
      </c>
      <c r="AE87" s="1" t="s">
        <v>19</v>
      </c>
      <c r="AF87" s="1" t="s">
        <v>19</v>
      </c>
      <c r="AG87" s="1"/>
      <c r="AH87" s="1"/>
      <c r="AI87" s="1"/>
      <c r="AJ87" s="1"/>
      <c r="AK87" s="1"/>
      <c r="AL87" s="1"/>
      <c r="AM87" s="1"/>
      <c r="AN87" s="1"/>
      <c r="AO87" s="1"/>
      <c r="AP87" s="1">
        <v>4.0</v>
      </c>
      <c r="AQ87" s="1">
        <v>4270.562988</v>
      </c>
      <c r="AR87" s="1">
        <v>100.0</v>
      </c>
      <c r="AS87" s="5">
        <v>100.0</v>
      </c>
      <c r="AT87" s="5">
        <v>0.0</v>
      </c>
      <c r="AU87" s="5">
        <v>0.0</v>
      </c>
      <c r="AV87" s="5">
        <v>0.0</v>
      </c>
    </row>
    <row r="88">
      <c r="A88" s="1" t="s">
        <v>105</v>
      </c>
      <c r="B88" s="1">
        <v>4.0</v>
      </c>
      <c r="C88" s="1">
        <v>4314.768066</v>
      </c>
      <c r="D88" s="1">
        <f t="shared" si="4"/>
        <v>5000000</v>
      </c>
      <c r="E88" s="2">
        <f t="shared" si="1"/>
        <v>31.58599854</v>
      </c>
      <c r="F88" s="1">
        <v>68.41400146</v>
      </c>
      <c r="G88" s="4">
        <f t="shared" si="2"/>
        <v>2951.905488</v>
      </c>
      <c r="R88" s="5">
        <v>94.37254436</v>
      </c>
      <c r="S88" s="5">
        <f t="shared" si="5"/>
        <v>94</v>
      </c>
      <c r="T88" s="5">
        <v>1.873480592</v>
      </c>
      <c r="U88" s="5">
        <v>2.262304247</v>
      </c>
      <c r="V88" s="5">
        <v>1.491670799</v>
      </c>
      <c r="W88" s="5"/>
      <c r="X88" s="1">
        <v>86.32308326</v>
      </c>
      <c r="Y88" s="1">
        <v>1.791982583</v>
      </c>
      <c r="Z88" s="1">
        <v>7.162364342</v>
      </c>
      <c r="AA88" s="1">
        <v>4.722569811</v>
      </c>
      <c r="AB88" s="1"/>
      <c r="AC88" s="1">
        <v>98.08889267</v>
      </c>
      <c r="AD88" s="1">
        <v>1.911107333</v>
      </c>
      <c r="AE88" s="1">
        <v>0.0</v>
      </c>
      <c r="AF88" s="1">
        <v>0.0</v>
      </c>
      <c r="AG88" s="1"/>
      <c r="AH88" s="1"/>
      <c r="AI88" s="1"/>
      <c r="AJ88" s="1"/>
      <c r="AK88" s="1"/>
      <c r="AL88" s="1"/>
      <c r="AM88" s="1"/>
      <c r="AN88" s="1"/>
      <c r="AO88" s="1"/>
      <c r="AP88" s="1">
        <v>4.0</v>
      </c>
      <c r="AQ88" s="1">
        <v>4314.768066</v>
      </c>
      <c r="AR88" s="1">
        <v>68.41400146</v>
      </c>
      <c r="AS88" s="5">
        <v>94.37254436</v>
      </c>
      <c r="AT88" s="5">
        <v>1.873480592</v>
      </c>
      <c r="AU88" s="5">
        <v>2.262304247</v>
      </c>
      <c r="AV88" s="5">
        <v>1.491670799</v>
      </c>
    </row>
    <row r="89">
      <c r="A89" s="1" t="s">
        <v>106</v>
      </c>
      <c r="B89" s="1">
        <v>2.0</v>
      </c>
      <c r="C89" s="1">
        <v>4649.660156</v>
      </c>
      <c r="D89" s="1">
        <f t="shared" si="4"/>
        <v>5000000</v>
      </c>
      <c r="E89" s="2">
        <f t="shared" si="1"/>
        <v>44.67300415</v>
      </c>
      <c r="F89" s="1">
        <v>55.32699585</v>
      </c>
      <c r="G89" s="4">
        <f t="shared" si="2"/>
        <v>2572.517282</v>
      </c>
      <c r="R89" s="5">
        <v>71.68104923</v>
      </c>
      <c r="S89" s="5">
        <f t="shared" si="5"/>
        <v>72</v>
      </c>
      <c r="T89" s="5">
        <v>13.47689193</v>
      </c>
      <c r="U89" s="5">
        <v>14.82032681</v>
      </c>
      <c r="V89" s="5">
        <v>0.02173203433</v>
      </c>
      <c r="W89" s="5"/>
      <c r="X89" s="1">
        <v>49.9113389</v>
      </c>
      <c r="Y89" s="1">
        <v>18.49039689</v>
      </c>
      <c r="Z89" s="1">
        <v>31.5496173</v>
      </c>
      <c r="AA89" s="1">
        <v>0.04864690722</v>
      </c>
      <c r="AB89" s="1"/>
      <c r="AC89" s="1">
        <v>89.25869465</v>
      </c>
      <c r="AD89" s="1">
        <v>9.428808083</v>
      </c>
      <c r="AE89" s="1">
        <v>1.31249727</v>
      </c>
      <c r="AF89" s="1">
        <v>0.0</v>
      </c>
      <c r="AG89" s="1"/>
      <c r="AH89" s="1"/>
      <c r="AI89" s="1"/>
      <c r="AJ89" s="1"/>
      <c r="AK89" s="1"/>
      <c r="AL89" s="1"/>
      <c r="AM89" s="1"/>
      <c r="AN89" s="1"/>
      <c r="AO89" s="1"/>
      <c r="AP89" s="1">
        <v>2.0</v>
      </c>
      <c r="AQ89" s="1">
        <v>4649.660156</v>
      </c>
      <c r="AR89" s="1">
        <v>55.32699585</v>
      </c>
      <c r="AS89" s="5">
        <v>71.68104923</v>
      </c>
      <c r="AT89" s="5">
        <v>13.47689193</v>
      </c>
      <c r="AU89" s="5">
        <v>14.82032681</v>
      </c>
      <c r="AV89" s="5">
        <v>0.02173203433</v>
      </c>
    </row>
    <row r="90">
      <c r="A90" s="1" t="s">
        <v>107</v>
      </c>
      <c r="B90" s="1">
        <v>4.0</v>
      </c>
      <c r="C90" s="1">
        <v>4822.23291</v>
      </c>
      <c r="D90" s="1">
        <f t="shared" si="4"/>
        <v>5000000</v>
      </c>
      <c r="E90" s="2">
        <f t="shared" si="1"/>
        <v>13.3010025</v>
      </c>
      <c r="F90" s="1">
        <v>86.6989975</v>
      </c>
      <c r="G90" s="4">
        <f t="shared" si="2"/>
        <v>4180.82759</v>
      </c>
      <c r="R90" s="5">
        <v>100.0000013</v>
      </c>
      <c r="S90" s="5">
        <f t="shared" si="5"/>
        <v>100</v>
      </c>
      <c r="T90" s="5">
        <v>0.0</v>
      </c>
      <c r="U90" s="5">
        <v>0.0</v>
      </c>
      <c r="V90" s="5">
        <v>0.0</v>
      </c>
      <c r="W90" s="5"/>
      <c r="X90" s="1">
        <v>100.0</v>
      </c>
      <c r="Y90" s="1">
        <v>0.0</v>
      </c>
      <c r="Z90" s="1">
        <v>0.0</v>
      </c>
      <c r="AA90" s="1">
        <v>0.0</v>
      </c>
      <c r="AB90" s="1"/>
      <c r="AC90" s="1">
        <v>100.0</v>
      </c>
      <c r="AD90" s="1">
        <v>0.0</v>
      </c>
      <c r="AE90" s="1">
        <v>0.0</v>
      </c>
      <c r="AF90" s="1">
        <v>0.0</v>
      </c>
      <c r="AG90" s="1"/>
      <c r="AH90" s="1"/>
      <c r="AI90" s="1"/>
      <c r="AJ90" s="1"/>
      <c r="AK90" s="1"/>
      <c r="AL90" s="1"/>
      <c r="AM90" s="1"/>
      <c r="AN90" s="1"/>
      <c r="AO90" s="1"/>
      <c r="AP90" s="1">
        <v>4.0</v>
      </c>
      <c r="AQ90" s="1">
        <v>4822.23291</v>
      </c>
      <c r="AR90" s="1">
        <v>86.6989975</v>
      </c>
      <c r="AS90" s="5">
        <v>100.0000013</v>
      </c>
      <c r="AT90" s="5">
        <v>0.0</v>
      </c>
      <c r="AU90" s="5">
        <v>0.0</v>
      </c>
      <c r="AV90" s="5">
        <v>0.0</v>
      </c>
    </row>
    <row r="91">
      <c r="A91" s="1" t="s">
        <v>108</v>
      </c>
      <c r="B91" s="1">
        <v>1.0</v>
      </c>
      <c r="C91" s="1">
        <v>4829.76416</v>
      </c>
      <c r="D91" s="1">
        <f t="shared" si="4"/>
        <v>5000000</v>
      </c>
      <c r="E91" s="2">
        <f t="shared" si="1"/>
        <v>57.80200195</v>
      </c>
      <c r="F91" s="1">
        <v>42.19799805</v>
      </c>
      <c r="G91" s="4">
        <f t="shared" si="2"/>
        <v>2038.063786</v>
      </c>
      <c r="R91" s="5">
        <v>37.20240205</v>
      </c>
      <c r="S91" s="5">
        <f t="shared" si="5"/>
        <v>37</v>
      </c>
      <c r="T91" s="5">
        <v>25.68237348</v>
      </c>
      <c r="U91" s="5">
        <v>33.53911377</v>
      </c>
      <c r="V91" s="5">
        <v>3.576110708</v>
      </c>
      <c r="W91" s="5"/>
      <c r="X91" s="1">
        <v>28.10659415</v>
      </c>
      <c r="Y91" s="1">
        <v>19.4058899</v>
      </c>
      <c r="Z91" s="1">
        <v>46.37307301</v>
      </c>
      <c r="AA91" s="1">
        <v>6.114442944</v>
      </c>
      <c r="AB91" s="1"/>
      <c r="AC91" s="1">
        <v>49.66166495</v>
      </c>
      <c r="AD91" s="1">
        <v>34.27978009</v>
      </c>
      <c r="AE91" s="1">
        <v>15.95940214</v>
      </c>
      <c r="AF91" s="1">
        <v>0.09915281712</v>
      </c>
      <c r="AG91" s="1"/>
      <c r="AH91" s="1"/>
      <c r="AI91" s="1"/>
      <c r="AJ91" s="1"/>
      <c r="AK91" s="1"/>
      <c r="AL91" s="1"/>
      <c r="AM91" s="1"/>
      <c r="AN91" s="1"/>
      <c r="AO91" s="1"/>
      <c r="AP91" s="1">
        <v>1.0</v>
      </c>
      <c r="AQ91" s="1">
        <v>4829.76416</v>
      </c>
      <c r="AR91" s="1">
        <v>42.19799805</v>
      </c>
      <c r="AS91" s="5">
        <v>37.20240205</v>
      </c>
      <c r="AT91" s="5">
        <v>25.68237348</v>
      </c>
      <c r="AU91" s="5">
        <v>33.53911377</v>
      </c>
      <c r="AV91" s="5">
        <v>3.576110708</v>
      </c>
    </row>
    <row r="92">
      <c r="A92" s="1" t="s">
        <v>109</v>
      </c>
      <c r="B92" s="1">
        <v>4.0</v>
      </c>
      <c r="C92" s="1">
        <v>4937.795898</v>
      </c>
      <c r="D92" s="1">
        <f t="shared" si="4"/>
        <v>5000000</v>
      </c>
      <c r="E92" s="2">
        <f t="shared" si="1"/>
        <v>36.34700012</v>
      </c>
      <c r="F92" s="1">
        <v>63.65299988</v>
      </c>
      <c r="G92" s="4">
        <f t="shared" si="2"/>
        <v>3143.055217</v>
      </c>
      <c r="R92" s="5">
        <v>97.39970651</v>
      </c>
      <c r="S92" s="5">
        <f t="shared" si="5"/>
        <v>97</v>
      </c>
      <c r="T92" s="5">
        <v>0.0</v>
      </c>
      <c r="U92" s="5">
        <v>2.600293485</v>
      </c>
      <c r="V92" s="5">
        <v>0.0</v>
      </c>
      <c r="W92" s="5"/>
      <c r="X92" s="1">
        <v>98.13492075</v>
      </c>
      <c r="Y92" s="1">
        <v>0.0</v>
      </c>
      <c r="Z92" s="1">
        <v>1.865079247</v>
      </c>
      <c r="AA92" s="1">
        <v>0.0</v>
      </c>
      <c r="AB92" s="1"/>
      <c r="AC92" s="1">
        <v>96.97988603</v>
      </c>
      <c r="AD92" s="1">
        <v>0.0</v>
      </c>
      <c r="AE92" s="1">
        <v>3.020113966</v>
      </c>
      <c r="AF92" s="1">
        <v>0.0</v>
      </c>
      <c r="AG92" s="1"/>
      <c r="AH92" s="1"/>
      <c r="AI92" s="1"/>
      <c r="AJ92" s="1"/>
      <c r="AK92" s="1"/>
      <c r="AL92" s="1"/>
      <c r="AM92" s="1"/>
      <c r="AN92" s="1"/>
      <c r="AO92" s="1"/>
      <c r="AP92" s="1">
        <v>4.0</v>
      </c>
      <c r="AQ92" s="1">
        <v>4937.795898</v>
      </c>
      <c r="AR92" s="1">
        <v>63.65299988</v>
      </c>
      <c r="AS92" s="5">
        <v>97.39970651</v>
      </c>
      <c r="AT92" s="5">
        <v>0.0</v>
      </c>
      <c r="AU92" s="5">
        <v>2.600293485</v>
      </c>
      <c r="AV92" s="5">
        <v>0.0</v>
      </c>
    </row>
    <row r="93">
      <c r="A93" s="1" t="s">
        <v>110</v>
      </c>
      <c r="B93" s="1">
        <v>1.0</v>
      </c>
      <c r="C93" s="1">
        <v>5057.676758</v>
      </c>
      <c r="D93" s="1">
        <f t="shared" si="4"/>
        <v>6000000</v>
      </c>
      <c r="E93" s="2">
        <f t="shared" si="1"/>
        <v>47.91100311</v>
      </c>
      <c r="F93" s="1">
        <v>52.08899689</v>
      </c>
      <c r="G93" s="4">
        <f t="shared" si="2"/>
        <v>2634.493089</v>
      </c>
      <c r="R93" s="5">
        <v>75.26179159</v>
      </c>
      <c r="S93" s="5">
        <f t="shared" si="5"/>
        <v>75</v>
      </c>
      <c r="T93" s="5">
        <v>8.700657475</v>
      </c>
      <c r="U93" s="5">
        <v>3.488080869</v>
      </c>
      <c r="V93" s="5">
        <v>12.54947006</v>
      </c>
      <c r="W93" s="5"/>
      <c r="X93" s="1">
        <v>64.10021689</v>
      </c>
      <c r="Y93" s="1">
        <v>6.537775797</v>
      </c>
      <c r="Z93" s="1">
        <v>3.383709875</v>
      </c>
      <c r="AA93" s="1">
        <v>25.97829744</v>
      </c>
      <c r="AB93" s="1"/>
      <c r="AC93" s="1">
        <v>85.52810963</v>
      </c>
      <c r="AD93" s="1">
        <v>10.69005698</v>
      </c>
      <c r="AE93" s="1">
        <v>3.58408039</v>
      </c>
      <c r="AF93" s="1">
        <v>0.1977530006</v>
      </c>
      <c r="AG93" s="1"/>
      <c r="AH93" s="1"/>
      <c r="AI93" s="1"/>
      <c r="AJ93" s="1"/>
      <c r="AK93" s="1"/>
      <c r="AL93" s="1"/>
      <c r="AM93" s="1"/>
      <c r="AN93" s="1"/>
      <c r="AO93" s="1"/>
      <c r="AP93" s="1">
        <v>1.0</v>
      </c>
      <c r="AQ93" s="1">
        <v>5057.676758</v>
      </c>
      <c r="AR93" s="1">
        <v>52.08899689</v>
      </c>
      <c r="AS93" s="5">
        <v>75.26179159</v>
      </c>
      <c r="AT93" s="5">
        <v>8.700657475</v>
      </c>
      <c r="AU93" s="5">
        <v>3.488080869</v>
      </c>
      <c r="AV93" s="5">
        <v>12.54947006</v>
      </c>
    </row>
    <row r="94">
      <c r="A94" s="1" t="s">
        <v>111</v>
      </c>
      <c r="B94" s="1">
        <v>3.0</v>
      </c>
      <c r="C94" s="1">
        <v>5094.11377</v>
      </c>
      <c r="D94" s="1">
        <f t="shared" si="4"/>
        <v>6000000</v>
      </c>
      <c r="E94" s="2">
        <f t="shared" si="1"/>
        <v>19.22900391</v>
      </c>
      <c r="F94" s="1">
        <v>80.77099609</v>
      </c>
      <c r="G94" s="4">
        <f t="shared" si="2"/>
        <v>4114.566434</v>
      </c>
      <c r="R94" s="5">
        <v>99.81053693</v>
      </c>
      <c r="S94" s="5">
        <f t="shared" si="5"/>
        <v>100</v>
      </c>
      <c r="T94" s="5">
        <v>0.1894594746</v>
      </c>
      <c r="U94" s="5">
        <v>3.594451897E-6</v>
      </c>
      <c r="V94" s="5">
        <v>0.0</v>
      </c>
      <c r="W94" s="5"/>
      <c r="X94" s="1">
        <v>99.64625</v>
      </c>
      <c r="Y94" s="1">
        <v>0.35375</v>
      </c>
      <c r="Z94" s="1">
        <v>0.0</v>
      </c>
      <c r="AA94" s="1">
        <v>0.0</v>
      </c>
      <c r="AB94" s="1"/>
      <c r="AC94" s="1">
        <v>99.84965286</v>
      </c>
      <c r="AD94" s="1">
        <v>0.1503471429</v>
      </c>
      <c r="AE94" s="1">
        <v>0.0</v>
      </c>
      <c r="AF94" s="1">
        <v>0.0</v>
      </c>
      <c r="AG94" s="1"/>
      <c r="AH94" s="1"/>
      <c r="AI94" s="1"/>
      <c r="AJ94" s="1"/>
      <c r="AK94" s="1"/>
      <c r="AL94" s="1"/>
      <c r="AM94" s="1"/>
      <c r="AN94" s="1"/>
      <c r="AO94" s="1"/>
      <c r="AP94" s="1">
        <v>3.0</v>
      </c>
      <c r="AQ94" s="1">
        <v>5094.11377</v>
      </c>
      <c r="AR94" s="1">
        <v>80.77099609</v>
      </c>
      <c r="AS94" s="5">
        <v>99.81053693</v>
      </c>
      <c r="AT94" s="5">
        <v>0.1894594746</v>
      </c>
      <c r="AU94" s="5">
        <v>3.594451897E-6</v>
      </c>
      <c r="AV94" s="5">
        <v>0.0</v>
      </c>
    </row>
    <row r="95">
      <c r="A95" s="1" t="s">
        <v>112</v>
      </c>
      <c r="B95" s="1">
        <v>2.0</v>
      </c>
      <c r="C95" s="1">
        <v>5101.416016</v>
      </c>
      <c r="D95" s="1">
        <f t="shared" si="4"/>
        <v>6000000</v>
      </c>
      <c r="E95" s="2">
        <f t="shared" si="1"/>
        <v>23.28100586</v>
      </c>
      <c r="F95" s="1">
        <v>76.71899414</v>
      </c>
      <c r="G95" s="4">
        <f t="shared" si="2"/>
        <v>3913.755054</v>
      </c>
      <c r="R95" s="5">
        <v>97.88039722</v>
      </c>
      <c r="S95" s="5">
        <f t="shared" si="5"/>
        <v>98</v>
      </c>
      <c r="T95" s="5">
        <v>1.029979486</v>
      </c>
      <c r="U95" s="5">
        <v>1.089623295</v>
      </c>
      <c r="V95" s="7" t="s">
        <v>19</v>
      </c>
      <c r="W95" s="7"/>
      <c r="X95" s="1">
        <v>98.71555642</v>
      </c>
      <c r="Y95" s="1">
        <v>0.3174006273</v>
      </c>
      <c r="Z95" s="1">
        <v>0.9670429576</v>
      </c>
      <c r="AA95" s="1" t="s">
        <v>19</v>
      </c>
      <c r="AB95" s="1"/>
      <c r="AC95" s="1">
        <v>97.62696443</v>
      </c>
      <c r="AD95" s="1">
        <v>1.246217358</v>
      </c>
      <c r="AE95" s="1">
        <v>1.126818208</v>
      </c>
      <c r="AF95" s="1" t="s">
        <v>19</v>
      </c>
      <c r="AG95" s="1"/>
      <c r="AH95" s="1"/>
      <c r="AI95" s="1"/>
      <c r="AJ95" s="1"/>
      <c r="AK95" s="1"/>
      <c r="AL95" s="1"/>
      <c r="AM95" s="1"/>
      <c r="AN95" s="1"/>
      <c r="AO95" s="1"/>
      <c r="AP95" s="1">
        <v>2.0</v>
      </c>
      <c r="AQ95" s="1">
        <v>5101.416016</v>
      </c>
      <c r="AR95" s="1">
        <v>76.71899414</v>
      </c>
      <c r="AS95" s="5">
        <v>97.88039722</v>
      </c>
      <c r="AT95" s="5">
        <v>1.029979486</v>
      </c>
      <c r="AU95" s="5">
        <v>1.089623295</v>
      </c>
      <c r="AV95" s="7" t="s">
        <v>19</v>
      </c>
    </row>
    <row r="96">
      <c r="A96" s="1" t="s">
        <v>113</v>
      </c>
      <c r="B96" s="1">
        <v>4.0</v>
      </c>
      <c r="C96" s="1">
        <v>5106.62207</v>
      </c>
      <c r="D96" s="1">
        <f t="shared" si="4"/>
        <v>6000000</v>
      </c>
      <c r="E96" s="2">
        <f t="shared" si="1"/>
        <v>13.72400665</v>
      </c>
      <c r="F96" s="1">
        <v>86.27599335</v>
      </c>
      <c r="G96" s="4">
        <f t="shared" si="2"/>
        <v>4405.788918</v>
      </c>
      <c r="R96" s="5">
        <v>92.16802469</v>
      </c>
      <c r="S96" s="5">
        <f t="shared" si="5"/>
        <v>92</v>
      </c>
      <c r="T96" s="5">
        <v>7.541419893</v>
      </c>
      <c r="U96" s="5">
        <v>0.2604052036</v>
      </c>
      <c r="V96" s="5">
        <v>0.03015021745</v>
      </c>
      <c r="W96" s="5"/>
      <c r="X96" s="1">
        <v>76.25077991</v>
      </c>
      <c r="Y96" s="1">
        <v>21.63212113</v>
      </c>
      <c r="Z96" s="1">
        <v>1.897409218</v>
      </c>
      <c r="AA96" s="1">
        <v>0.2196897375</v>
      </c>
      <c r="AB96" s="1"/>
      <c r="AC96" s="1">
        <v>94.7</v>
      </c>
      <c r="AD96" s="1">
        <v>5.3</v>
      </c>
      <c r="AE96" s="1">
        <v>0.0</v>
      </c>
      <c r="AF96" s="1">
        <v>0.0</v>
      </c>
      <c r="AG96" s="1"/>
      <c r="AH96" s="1"/>
      <c r="AI96" s="1"/>
      <c r="AJ96" s="1"/>
      <c r="AK96" s="1"/>
      <c r="AL96" s="1"/>
      <c r="AM96" s="1"/>
      <c r="AN96" s="1"/>
      <c r="AO96" s="1"/>
      <c r="AP96" s="1">
        <v>4.0</v>
      </c>
      <c r="AQ96" s="1">
        <v>5106.62207</v>
      </c>
      <c r="AR96" s="1">
        <v>86.27599335</v>
      </c>
      <c r="AS96" s="5">
        <v>92.16802469</v>
      </c>
      <c r="AT96" s="5">
        <v>7.541419893</v>
      </c>
      <c r="AU96" s="5">
        <v>0.2604052036</v>
      </c>
      <c r="AV96" s="5">
        <v>0.03015021745</v>
      </c>
    </row>
    <row r="97">
      <c r="A97" s="1" t="s">
        <v>114</v>
      </c>
      <c r="B97" s="1">
        <v>4.0</v>
      </c>
      <c r="C97" s="1">
        <v>5421.242188</v>
      </c>
      <c r="D97" s="1">
        <f t="shared" si="4"/>
        <v>6000000</v>
      </c>
      <c r="E97" s="2">
        <f t="shared" si="1"/>
        <v>17.02600861</v>
      </c>
      <c r="F97" s="1">
        <v>82.97399139</v>
      </c>
      <c r="G97" s="4">
        <f t="shared" si="2"/>
        <v>4498.221026</v>
      </c>
      <c r="R97" s="5">
        <v>99.9999955</v>
      </c>
      <c r="S97" s="5">
        <f t="shared" si="5"/>
        <v>100</v>
      </c>
      <c r="T97" s="5">
        <v>0.0</v>
      </c>
      <c r="U97" s="5">
        <v>4.503407453E-6</v>
      </c>
      <c r="V97" s="5">
        <v>0.0</v>
      </c>
      <c r="W97" s="5"/>
      <c r="X97" s="1">
        <v>100.0</v>
      </c>
      <c r="Y97" s="1">
        <v>0.0</v>
      </c>
      <c r="Z97" s="1">
        <v>0.0</v>
      </c>
      <c r="AA97" s="1">
        <v>0.0</v>
      </c>
      <c r="AB97" s="1"/>
      <c r="AC97" s="1">
        <v>100.0</v>
      </c>
      <c r="AD97" s="1">
        <v>0.0</v>
      </c>
      <c r="AE97" s="1">
        <v>0.0</v>
      </c>
      <c r="AF97" s="1">
        <v>0.0</v>
      </c>
      <c r="AG97" s="1"/>
      <c r="AH97" s="1"/>
      <c r="AI97" s="1"/>
      <c r="AJ97" s="1"/>
      <c r="AK97" s="1"/>
      <c r="AL97" s="1"/>
      <c r="AM97" s="1"/>
      <c r="AN97" s="1"/>
      <c r="AO97" s="1"/>
      <c r="AP97" s="1">
        <v>4.0</v>
      </c>
      <c r="AQ97" s="1">
        <v>5421.242188</v>
      </c>
      <c r="AR97" s="1">
        <v>82.97399139</v>
      </c>
      <c r="AS97" s="5">
        <v>99.9999955</v>
      </c>
      <c r="AT97" s="5">
        <v>0.0</v>
      </c>
      <c r="AU97" s="5">
        <v>4.503407453E-6</v>
      </c>
      <c r="AV97" s="5">
        <v>0.0</v>
      </c>
    </row>
    <row r="98">
      <c r="A98" s="1" t="s">
        <v>115</v>
      </c>
      <c r="B98" s="1">
        <v>4.0</v>
      </c>
      <c r="C98" s="1">
        <v>5459.643066</v>
      </c>
      <c r="D98" s="1">
        <f t="shared" si="4"/>
        <v>6000000</v>
      </c>
      <c r="E98" s="2">
        <f t="shared" si="1"/>
        <v>46.24000168</v>
      </c>
      <c r="F98" s="1">
        <v>53.75999832</v>
      </c>
      <c r="G98" s="4">
        <f t="shared" si="2"/>
        <v>2935.104021</v>
      </c>
      <c r="R98" s="5">
        <v>99.78769858</v>
      </c>
      <c r="S98" s="5">
        <f t="shared" si="5"/>
        <v>100</v>
      </c>
      <c r="T98" s="5">
        <v>0.2123014241</v>
      </c>
      <c r="U98" s="5">
        <v>0.0</v>
      </c>
      <c r="V98" s="5">
        <v>0.0</v>
      </c>
      <c r="W98" s="5"/>
      <c r="X98" s="1">
        <v>100.0</v>
      </c>
      <c r="Y98" s="1">
        <v>0.0</v>
      </c>
      <c r="Z98" s="1">
        <v>0.0</v>
      </c>
      <c r="AA98" s="1">
        <v>0.0</v>
      </c>
      <c r="AB98" s="1"/>
      <c r="AC98" s="1">
        <v>99.60509406</v>
      </c>
      <c r="AD98" s="1">
        <v>0.3949059374</v>
      </c>
      <c r="AE98" s="1">
        <v>0.0</v>
      </c>
      <c r="AF98" s="1">
        <v>0.0</v>
      </c>
      <c r="AG98" s="1"/>
      <c r="AH98" s="1"/>
      <c r="AI98" s="1"/>
      <c r="AJ98" s="1"/>
      <c r="AK98" s="1"/>
      <c r="AL98" s="1"/>
      <c r="AM98" s="1"/>
      <c r="AN98" s="1"/>
      <c r="AO98" s="1"/>
      <c r="AP98" s="1">
        <v>4.0</v>
      </c>
      <c r="AQ98" s="1">
        <v>5459.643066</v>
      </c>
      <c r="AR98" s="1">
        <v>53.75999832</v>
      </c>
      <c r="AS98" s="5">
        <v>99.78769858</v>
      </c>
      <c r="AT98" s="5">
        <v>0.2123014241</v>
      </c>
      <c r="AU98" s="5">
        <v>0.0</v>
      </c>
      <c r="AV98" s="5">
        <v>0.0</v>
      </c>
    </row>
    <row r="99">
      <c r="A99" s="1" t="s">
        <v>116</v>
      </c>
      <c r="B99" s="1">
        <v>2.0</v>
      </c>
      <c r="C99" s="1">
        <v>5518.091797</v>
      </c>
      <c r="D99" s="1">
        <f t="shared" si="4"/>
        <v>6000000</v>
      </c>
      <c r="E99" s="2">
        <f t="shared" si="1"/>
        <v>32.17099762</v>
      </c>
      <c r="F99" s="1">
        <v>67.82900238</v>
      </c>
      <c r="G99" s="4">
        <f t="shared" si="2"/>
        <v>3742.866616</v>
      </c>
      <c r="R99" s="5">
        <v>73.78451158</v>
      </c>
      <c r="S99" s="5">
        <f t="shared" si="5"/>
        <v>74</v>
      </c>
      <c r="T99" s="5">
        <v>10.46117203</v>
      </c>
      <c r="U99" s="5">
        <v>9.559180722</v>
      </c>
      <c r="V99" s="5">
        <v>6.195135664</v>
      </c>
      <c r="W99" s="5"/>
      <c r="X99" s="1">
        <v>45.72441318</v>
      </c>
      <c r="Y99" s="1">
        <v>10.6323901</v>
      </c>
      <c r="Z99" s="1">
        <v>24.40516973</v>
      </c>
      <c r="AA99" s="1">
        <v>19.23802699</v>
      </c>
      <c r="AB99" s="1"/>
      <c r="AC99" s="1">
        <v>87.09329616</v>
      </c>
      <c r="AD99" s="1">
        <v>10.37996439</v>
      </c>
      <c r="AE99" s="1">
        <v>2.517789997</v>
      </c>
      <c r="AF99" s="1">
        <v>0.008949452055</v>
      </c>
      <c r="AG99" s="1"/>
      <c r="AH99" s="1"/>
      <c r="AI99" s="1"/>
      <c r="AJ99" s="1"/>
      <c r="AK99" s="1"/>
      <c r="AL99" s="1"/>
      <c r="AM99" s="1"/>
      <c r="AN99" s="1"/>
      <c r="AO99" s="1"/>
      <c r="AP99" s="1">
        <v>2.0</v>
      </c>
      <c r="AQ99" s="1">
        <v>5518.091797</v>
      </c>
      <c r="AR99" s="1">
        <v>67.82900238</v>
      </c>
      <c r="AS99" s="5">
        <v>73.78451158</v>
      </c>
      <c r="AT99" s="5">
        <v>10.46117203</v>
      </c>
      <c r="AU99" s="5">
        <v>9.559180722</v>
      </c>
      <c r="AV99" s="5">
        <v>6.195135664</v>
      </c>
    </row>
    <row r="100">
      <c r="A100" s="1" t="s">
        <v>117</v>
      </c>
      <c r="B100" s="1">
        <v>4.0</v>
      </c>
      <c r="C100" s="1">
        <v>5540.717773</v>
      </c>
      <c r="D100" s="1">
        <f t="shared" si="4"/>
        <v>6000000</v>
      </c>
      <c r="E100" s="2">
        <f t="shared" si="1"/>
        <v>14.48299408</v>
      </c>
      <c r="F100" s="1">
        <v>85.51700592</v>
      </c>
      <c r="G100" s="4">
        <f t="shared" si="2"/>
        <v>4738.255946</v>
      </c>
      <c r="R100" s="5">
        <v>100.0000033</v>
      </c>
      <c r="S100" s="5">
        <f t="shared" si="5"/>
        <v>100</v>
      </c>
      <c r="T100" s="5">
        <v>0.0</v>
      </c>
      <c r="U100" s="5">
        <v>0.0</v>
      </c>
      <c r="V100" s="5">
        <v>0.0</v>
      </c>
      <c r="W100" s="5"/>
      <c r="X100" s="1">
        <v>100.0</v>
      </c>
      <c r="Y100" s="1">
        <v>0.0</v>
      </c>
      <c r="Z100" s="1">
        <v>0.0</v>
      </c>
      <c r="AA100" s="1">
        <v>0.0</v>
      </c>
      <c r="AB100" s="1"/>
      <c r="AC100" s="1">
        <v>100.0</v>
      </c>
      <c r="AD100" s="1">
        <v>0.0</v>
      </c>
      <c r="AE100" s="1">
        <v>0.0</v>
      </c>
      <c r="AF100" s="1">
        <v>0.0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>
        <v>4.0</v>
      </c>
      <c r="AQ100" s="1">
        <v>5540.717773</v>
      </c>
      <c r="AR100" s="1">
        <v>85.51700592</v>
      </c>
      <c r="AS100" s="5">
        <v>100.0000033</v>
      </c>
      <c r="AT100" s="5">
        <v>0.0</v>
      </c>
      <c r="AU100" s="5">
        <v>0.0</v>
      </c>
      <c r="AV100" s="5">
        <v>0.0</v>
      </c>
    </row>
    <row r="101">
      <c r="A101" s="1" t="s">
        <v>118</v>
      </c>
      <c r="B101" s="1">
        <v>4.0</v>
      </c>
      <c r="C101" s="1">
        <v>5792.203125</v>
      </c>
      <c r="D101" s="1">
        <f t="shared" si="4"/>
        <v>6000000</v>
      </c>
      <c r="E101" s="2">
        <f t="shared" si="1"/>
        <v>11.88399506</v>
      </c>
      <c r="F101" s="1">
        <v>88.11600494</v>
      </c>
      <c r="G101" s="4">
        <f t="shared" si="2"/>
        <v>5103.857992</v>
      </c>
      <c r="R101" s="5">
        <v>100.0000011</v>
      </c>
      <c r="S101" s="5">
        <f t="shared" si="5"/>
        <v>100</v>
      </c>
      <c r="T101" s="5">
        <v>0.0</v>
      </c>
      <c r="U101" s="5">
        <v>0.0</v>
      </c>
      <c r="V101" s="5">
        <v>0.0</v>
      </c>
      <c r="W101" s="5"/>
      <c r="X101" s="1">
        <v>100.0</v>
      </c>
      <c r="Y101" s="1">
        <v>0.0</v>
      </c>
      <c r="Z101" s="1">
        <v>0.0</v>
      </c>
      <c r="AA101" s="1">
        <v>0.0</v>
      </c>
      <c r="AB101" s="1"/>
      <c r="AC101" s="1">
        <v>100.0</v>
      </c>
      <c r="AD101" s="1">
        <v>0.0</v>
      </c>
      <c r="AE101" s="1">
        <v>0.0</v>
      </c>
      <c r="AF101" s="1">
        <v>0.0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>
        <v>4.0</v>
      </c>
      <c r="AQ101" s="1">
        <v>5792.203125</v>
      </c>
      <c r="AR101" s="1">
        <v>88.11600494</v>
      </c>
      <c r="AS101" s="5">
        <v>100.0000011</v>
      </c>
      <c r="AT101" s="5">
        <v>0.0</v>
      </c>
      <c r="AU101" s="5">
        <v>0.0</v>
      </c>
      <c r="AV101" s="5">
        <v>0.0</v>
      </c>
    </row>
    <row r="102">
      <c r="A102" s="1" t="s">
        <v>119</v>
      </c>
      <c r="B102" s="1">
        <v>4.0</v>
      </c>
      <c r="C102" s="1">
        <v>5850.342773</v>
      </c>
      <c r="D102" s="1">
        <f t="shared" si="4"/>
        <v>6000000</v>
      </c>
      <c r="E102" s="2">
        <f t="shared" si="1"/>
        <v>0</v>
      </c>
      <c r="F102" s="1">
        <v>100.0</v>
      </c>
      <c r="G102" s="4">
        <f t="shared" si="2"/>
        <v>5850.342773</v>
      </c>
      <c r="R102" s="5">
        <v>100.0</v>
      </c>
      <c r="S102" s="5">
        <f t="shared" si="5"/>
        <v>100</v>
      </c>
      <c r="T102" s="5">
        <v>0.0</v>
      </c>
      <c r="U102" s="5">
        <v>0.0</v>
      </c>
      <c r="V102" s="5">
        <v>0.0</v>
      </c>
      <c r="W102" s="5"/>
      <c r="X102" s="1" t="s">
        <v>19</v>
      </c>
      <c r="Y102" s="1" t="s">
        <v>19</v>
      </c>
      <c r="Z102" s="1" t="s">
        <v>19</v>
      </c>
      <c r="AA102" s="1" t="s">
        <v>19</v>
      </c>
      <c r="AB102" s="1"/>
      <c r="AC102" s="1">
        <v>100.0</v>
      </c>
      <c r="AD102" s="1">
        <v>0.0</v>
      </c>
      <c r="AE102" s="1">
        <v>0.0</v>
      </c>
      <c r="AF102" s="1">
        <v>0.0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>
        <v>4.0</v>
      </c>
      <c r="AQ102" s="1">
        <v>5850.342773</v>
      </c>
      <c r="AR102" s="1">
        <v>100.0</v>
      </c>
      <c r="AS102" s="5">
        <v>100.0</v>
      </c>
      <c r="AT102" s="5">
        <v>0.0</v>
      </c>
      <c r="AU102" s="5">
        <v>0.0</v>
      </c>
      <c r="AV102" s="5">
        <v>0.0</v>
      </c>
    </row>
    <row r="103">
      <c r="A103" s="1" t="s">
        <v>120</v>
      </c>
      <c r="B103" s="1">
        <v>3.0</v>
      </c>
      <c r="C103" s="1">
        <v>6031.187012</v>
      </c>
      <c r="D103" s="1">
        <f t="shared" si="4"/>
        <v>7000000</v>
      </c>
      <c r="E103" s="2">
        <f t="shared" si="1"/>
        <v>47.48399734</v>
      </c>
      <c r="F103" s="1">
        <v>52.51600266</v>
      </c>
      <c r="G103" s="4">
        <f t="shared" si="2"/>
        <v>3167.338332</v>
      </c>
      <c r="R103" s="5">
        <v>100.0</v>
      </c>
      <c r="S103" s="5">
        <f t="shared" si="5"/>
        <v>100</v>
      </c>
      <c r="T103" s="5">
        <v>0.0</v>
      </c>
      <c r="U103" s="5">
        <v>0.0</v>
      </c>
      <c r="V103" s="5">
        <v>0.0</v>
      </c>
      <c r="W103" s="5"/>
      <c r="X103" s="1">
        <v>100.0</v>
      </c>
      <c r="Y103" s="1">
        <v>0.0</v>
      </c>
      <c r="Z103" s="1">
        <v>0.0</v>
      </c>
      <c r="AA103" s="1">
        <v>0.0</v>
      </c>
      <c r="AB103" s="1"/>
      <c r="AC103" s="1">
        <v>100.0</v>
      </c>
      <c r="AD103" s="1">
        <v>0.0</v>
      </c>
      <c r="AE103" s="1">
        <v>0.0</v>
      </c>
      <c r="AF103" s="1">
        <v>0.0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>
        <v>3.0</v>
      </c>
      <c r="AQ103" s="1">
        <v>6031.187012</v>
      </c>
      <c r="AR103" s="1">
        <v>52.51600266</v>
      </c>
      <c r="AS103" s="5">
        <v>100.0</v>
      </c>
      <c r="AT103" s="5">
        <v>0.0</v>
      </c>
      <c r="AU103" s="5">
        <v>0.0</v>
      </c>
      <c r="AV103" s="5">
        <v>0.0</v>
      </c>
    </row>
    <row r="104">
      <c r="A104" s="1" t="s">
        <v>121</v>
      </c>
      <c r="B104" s="1">
        <v>2.0</v>
      </c>
      <c r="C104" s="1">
        <v>6486.201172</v>
      </c>
      <c r="D104" s="1">
        <f t="shared" si="4"/>
        <v>7000000</v>
      </c>
      <c r="E104" s="2">
        <f t="shared" si="1"/>
        <v>26.55599976</v>
      </c>
      <c r="F104" s="1">
        <v>73.44400024</v>
      </c>
      <c r="G104" s="4">
        <f t="shared" si="2"/>
        <v>4763.725604</v>
      </c>
      <c r="R104" s="5">
        <v>97.94657541</v>
      </c>
      <c r="S104" s="5">
        <f t="shared" si="5"/>
        <v>98</v>
      </c>
      <c r="T104" s="5">
        <v>0.2072632319</v>
      </c>
      <c r="U104" s="5">
        <v>0.3151739969</v>
      </c>
      <c r="V104" s="5">
        <v>1.530987366</v>
      </c>
      <c r="W104" s="5"/>
      <c r="X104" s="1">
        <v>93.45439508</v>
      </c>
      <c r="Y104" s="1">
        <v>0.7804762049</v>
      </c>
      <c r="Z104" s="1">
        <v>0.0</v>
      </c>
      <c r="AA104" s="1">
        <v>5.765128712</v>
      </c>
      <c r="AB104" s="1"/>
      <c r="AC104" s="1">
        <v>99.57087001</v>
      </c>
      <c r="AD104" s="1">
        <v>0.0</v>
      </c>
      <c r="AE104" s="1">
        <v>0.4291299944</v>
      </c>
      <c r="AF104" s="1">
        <v>0.0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>
        <v>2.0</v>
      </c>
      <c r="AQ104" s="1">
        <v>6486.201172</v>
      </c>
      <c r="AR104" s="1">
        <v>73.44400024</v>
      </c>
      <c r="AS104" s="5">
        <v>97.94657541</v>
      </c>
      <c r="AT104" s="5">
        <v>0.2072632319</v>
      </c>
      <c r="AU104" s="5">
        <v>0.3151739969</v>
      </c>
      <c r="AV104" s="5">
        <v>1.530987366</v>
      </c>
    </row>
    <row r="105">
      <c r="A105" s="1" t="s">
        <v>122</v>
      </c>
      <c r="B105" s="1">
        <v>0.0</v>
      </c>
      <c r="C105" s="1">
        <v>6524.190918</v>
      </c>
      <c r="D105" s="1">
        <f t="shared" si="4"/>
        <v>7000000</v>
      </c>
      <c r="E105" s="2">
        <f t="shared" si="1"/>
        <v>63.14400101</v>
      </c>
      <c r="F105" s="1">
        <v>36.85599899</v>
      </c>
      <c r="G105" s="4">
        <f t="shared" si="2"/>
        <v>2404.555739</v>
      </c>
      <c r="R105" s="5">
        <v>91.69930522</v>
      </c>
      <c r="S105" s="5">
        <f t="shared" si="5"/>
        <v>92</v>
      </c>
      <c r="T105" s="5">
        <v>1.900734111</v>
      </c>
      <c r="U105" s="5">
        <v>1.8656487</v>
      </c>
      <c r="V105" s="5">
        <v>4.534311965</v>
      </c>
      <c r="W105" s="5"/>
      <c r="X105" s="1">
        <v>87.258429</v>
      </c>
      <c r="Y105" s="1">
        <v>2.606070485</v>
      </c>
      <c r="Z105" s="1">
        <v>2.954593684</v>
      </c>
      <c r="AA105" s="1">
        <v>7.180906832</v>
      </c>
      <c r="AB105" s="1"/>
      <c r="AC105" s="1">
        <v>99.30769231</v>
      </c>
      <c r="AD105" s="1">
        <v>0.6923076923</v>
      </c>
      <c r="AE105" s="1">
        <v>0.0</v>
      </c>
      <c r="AF105" s="1">
        <v>0.0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>
        <v>0.0</v>
      </c>
      <c r="AQ105" s="1">
        <v>6524.190918</v>
      </c>
      <c r="AR105" s="1">
        <v>36.85599899</v>
      </c>
      <c r="AS105" s="5">
        <v>91.69930522</v>
      </c>
      <c r="AT105" s="5">
        <v>1.900734111</v>
      </c>
      <c r="AU105" s="5">
        <v>1.8656487</v>
      </c>
      <c r="AV105" s="5">
        <v>4.534311965</v>
      </c>
    </row>
    <row r="106">
      <c r="A106" s="1" t="s">
        <v>123</v>
      </c>
      <c r="B106" s="1">
        <v>2.0</v>
      </c>
      <c r="C106" s="1">
        <v>6624.554199</v>
      </c>
      <c r="D106" s="1">
        <f t="shared" si="4"/>
        <v>7000000</v>
      </c>
      <c r="E106" s="2">
        <f t="shared" si="1"/>
        <v>40.98799896</v>
      </c>
      <c r="F106" s="1">
        <v>59.01200104</v>
      </c>
      <c r="G106" s="4">
        <f t="shared" si="2"/>
        <v>3909.281993</v>
      </c>
      <c r="R106" s="5">
        <v>81.7087538</v>
      </c>
      <c r="S106" s="5">
        <f t="shared" si="5"/>
        <v>82</v>
      </c>
      <c r="T106" s="5">
        <v>1.506645682</v>
      </c>
      <c r="U106" s="5">
        <v>13.53053114</v>
      </c>
      <c r="V106" s="5">
        <v>3.254069378</v>
      </c>
      <c r="W106" s="5"/>
      <c r="X106" s="1">
        <v>59.10744663</v>
      </c>
      <c r="Y106" s="1">
        <v>3.520974285</v>
      </c>
      <c r="Z106" s="1">
        <v>29.78017368</v>
      </c>
      <c r="AA106" s="1">
        <v>7.5914054</v>
      </c>
      <c r="AB106" s="1"/>
      <c r="AC106" s="1">
        <v>97.40695661</v>
      </c>
      <c r="AD106" s="1">
        <v>0.1075523143</v>
      </c>
      <c r="AE106" s="1">
        <v>2.244007656</v>
      </c>
      <c r="AF106" s="1">
        <v>0.2414834229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>
        <v>2.0</v>
      </c>
      <c r="AQ106" s="1">
        <v>6624.554199</v>
      </c>
      <c r="AR106" s="1">
        <v>59.01200104</v>
      </c>
      <c r="AS106" s="5">
        <v>81.7087538</v>
      </c>
      <c r="AT106" s="5">
        <v>1.506645682</v>
      </c>
      <c r="AU106" s="5">
        <v>13.53053114</v>
      </c>
      <c r="AV106" s="5">
        <v>3.254069378</v>
      </c>
    </row>
    <row r="107">
      <c r="A107" s="1" t="s">
        <v>124</v>
      </c>
      <c r="B107" s="1">
        <v>2.0</v>
      </c>
      <c r="C107" s="1">
        <v>6825.441895</v>
      </c>
      <c r="D107" s="1">
        <f t="shared" si="4"/>
        <v>7000000</v>
      </c>
      <c r="E107" s="2">
        <f t="shared" si="1"/>
        <v>11.07500458</v>
      </c>
      <c r="F107" s="1">
        <v>88.92499542</v>
      </c>
      <c r="G107" s="4">
        <f t="shared" si="2"/>
        <v>6069.523893</v>
      </c>
      <c r="R107" s="5">
        <v>92.6</v>
      </c>
      <c r="S107" s="5">
        <f t="shared" si="5"/>
        <v>93</v>
      </c>
      <c r="T107" s="5">
        <v>7.4</v>
      </c>
      <c r="U107" s="5">
        <v>0.0</v>
      </c>
      <c r="V107" s="5">
        <v>0.0</v>
      </c>
      <c r="W107" s="5"/>
      <c r="X107" s="1" t="s">
        <v>19</v>
      </c>
      <c r="Y107" s="1" t="s">
        <v>19</v>
      </c>
      <c r="Z107" s="1" t="s">
        <v>19</v>
      </c>
      <c r="AA107" s="1" t="s">
        <v>19</v>
      </c>
      <c r="AB107" s="1"/>
      <c r="AC107" s="1" t="s">
        <v>19</v>
      </c>
      <c r="AD107" s="1" t="s">
        <v>19</v>
      </c>
      <c r="AE107" s="1" t="s">
        <v>19</v>
      </c>
      <c r="AF107" s="1" t="s">
        <v>19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>
        <v>2.0</v>
      </c>
      <c r="AQ107" s="1">
        <v>6825.441895</v>
      </c>
      <c r="AR107" s="1">
        <v>88.92499542</v>
      </c>
      <c r="AS107" s="5">
        <v>92.6</v>
      </c>
      <c r="AT107" s="5">
        <v>7.4</v>
      </c>
      <c r="AU107" s="5">
        <v>0.0</v>
      </c>
      <c r="AV107" s="5">
        <v>0.0</v>
      </c>
    </row>
    <row r="108">
      <c r="A108" s="1" t="s">
        <v>125</v>
      </c>
      <c r="B108" s="1">
        <v>3.0</v>
      </c>
      <c r="C108" s="1">
        <v>6871.287109</v>
      </c>
      <c r="D108" s="1">
        <f t="shared" si="4"/>
        <v>7000000</v>
      </c>
      <c r="E108" s="2">
        <f t="shared" si="1"/>
        <v>19.30899811</v>
      </c>
      <c r="F108" s="1">
        <v>80.69100189</v>
      </c>
      <c r="G108" s="4">
        <f t="shared" si="2"/>
        <v>5544.510411</v>
      </c>
      <c r="R108" s="5">
        <v>99.8915238</v>
      </c>
      <c r="S108" s="5">
        <f t="shared" si="5"/>
        <v>100</v>
      </c>
      <c r="T108" s="5">
        <v>0.0</v>
      </c>
      <c r="U108" s="5">
        <v>0.1084762012</v>
      </c>
      <c r="V108" s="5">
        <v>0.0</v>
      </c>
      <c r="W108" s="5"/>
      <c r="X108" s="1" t="s">
        <v>19</v>
      </c>
      <c r="Y108" s="1" t="s">
        <v>19</v>
      </c>
      <c r="Z108" s="1" t="s">
        <v>19</v>
      </c>
      <c r="AA108" s="1" t="s">
        <v>19</v>
      </c>
      <c r="AB108" s="1"/>
      <c r="AC108" s="1" t="s">
        <v>19</v>
      </c>
      <c r="AD108" s="1" t="s">
        <v>19</v>
      </c>
      <c r="AE108" s="1" t="s">
        <v>19</v>
      </c>
      <c r="AF108" s="1" t="s">
        <v>19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>
        <v>3.0</v>
      </c>
      <c r="AQ108" s="1">
        <v>6871.287109</v>
      </c>
      <c r="AR108" s="1">
        <v>80.69100189</v>
      </c>
      <c r="AS108" s="5">
        <v>99.8915238</v>
      </c>
      <c r="AT108" s="5">
        <v>0.0</v>
      </c>
      <c r="AU108" s="5">
        <v>0.1084762012</v>
      </c>
      <c r="AV108" s="5">
        <v>0.0</v>
      </c>
    </row>
    <row r="109">
      <c r="A109" s="1" t="s">
        <v>126</v>
      </c>
      <c r="B109" s="1">
        <v>3.0</v>
      </c>
      <c r="C109" s="1">
        <v>6948.444824</v>
      </c>
      <c r="D109" s="1">
        <f t="shared" si="4"/>
        <v>7000000</v>
      </c>
      <c r="E109" s="2">
        <f t="shared" si="1"/>
        <v>24.31400299</v>
      </c>
      <c r="F109" s="1">
        <v>75.68599701</v>
      </c>
      <c r="G109" s="4">
        <f t="shared" si="2"/>
        <v>5258.999742</v>
      </c>
      <c r="R109" s="5">
        <v>99.01141694</v>
      </c>
      <c r="S109" s="5">
        <f t="shared" si="5"/>
        <v>99</v>
      </c>
      <c r="T109" s="5">
        <v>0.0</v>
      </c>
      <c r="U109" s="5">
        <v>0.9885830607</v>
      </c>
      <c r="V109" s="5">
        <v>0.0</v>
      </c>
      <c r="W109" s="5"/>
      <c r="X109" s="1">
        <v>97.40128797</v>
      </c>
      <c r="Y109" s="1">
        <v>0.0</v>
      </c>
      <c r="Z109" s="1">
        <v>2.598712031</v>
      </c>
      <c r="AA109" s="1">
        <v>0.0</v>
      </c>
      <c r="AB109" s="1"/>
      <c r="AC109" s="1">
        <v>99.5286704</v>
      </c>
      <c r="AD109" s="1">
        <v>0.0</v>
      </c>
      <c r="AE109" s="1">
        <v>0.4713296007</v>
      </c>
      <c r="AF109" s="1">
        <v>0.0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>
        <v>3.0</v>
      </c>
      <c r="AQ109" s="1">
        <v>6948.444824</v>
      </c>
      <c r="AR109" s="1">
        <v>75.68599701</v>
      </c>
      <c r="AS109" s="5">
        <v>99.01141694</v>
      </c>
      <c r="AT109" s="5">
        <v>0.0</v>
      </c>
      <c r="AU109" s="5">
        <v>0.9885830607</v>
      </c>
      <c r="AV109" s="5">
        <v>0.0</v>
      </c>
    </row>
    <row r="110">
      <c r="A110" s="1" t="s">
        <v>127</v>
      </c>
      <c r="B110" s="1">
        <v>3.0</v>
      </c>
      <c r="C110" s="1">
        <v>7132.529785</v>
      </c>
      <c r="D110" s="1">
        <f t="shared" si="4"/>
        <v>8000000</v>
      </c>
      <c r="E110" s="2">
        <f t="shared" si="1"/>
        <v>37.81700516</v>
      </c>
      <c r="F110" s="1">
        <v>62.18299484</v>
      </c>
      <c r="G110" s="4">
        <f t="shared" si="2"/>
        <v>4435.220628</v>
      </c>
      <c r="R110" s="5">
        <v>99.59346633</v>
      </c>
      <c r="S110" s="5">
        <f t="shared" si="5"/>
        <v>100</v>
      </c>
      <c r="T110" s="5">
        <v>0.4065302439</v>
      </c>
      <c r="U110" s="5">
        <v>3.4229177E-6</v>
      </c>
      <c r="V110" s="5">
        <v>0.0</v>
      </c>
      <c r="W110" s="5"/>
      <c r="X110" s="1">
        <v>99.11122753</v>
      </c>
      <c r="Y110" s="1">
        <v>0.8887724684</v>
      </c>
      <c r="Z110" s="1">
        <v>0.0</v>
      </c>
      <c r="AA110" s="1">
        <v>0.0</v>
      </c>
      <c r="AB110" s="1"/>
      <c r="AC110" s="1">
        <v>99.88674854</v>
      </c>
      <c r="AD110" s="1">
        <v>0.1132514643</v>
      </c>
      <c r="AE110" s="1">
        <v>0.0</v>
      </c>
      <c r="AF110" s="1">
        <v>0.0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>
        <v>3.0</v>
      </c>
      <c r="AQ110" s="1">
        <v>7132.529785</v>
      </c>
      <c r="AR110" s="1">
        <v>62.18299484</v>
      </c>
      <c r="AS110" s="5">
        <v>99.59346633</v>
      </c>
      <c r="AT110" s="5">
        <v>0.4065302439</v>
      </c>
      <c r="AU110" s="5">
        <v>3.4229177E-6</v>
      </c>
      <c r="AV110" s="5">
        <v>0.0</v>
      </c>
    </row>
    <row r="111">
      <c r="A111" s="1" t="s">
        <v>128</v>
      </c>
      <c r="B111" s="1">
        <v>2.0</v>
      </c>
      <c r="C111" s="1">
        <v>7275.556152</v>
      </c>
      <c r="D111" s="1">
        <f t="shared" si="4"/>
        <v>8000000</v>
      </c>
      <c r="E111" s="2">
        <f t="shared" si="1"/>
        <v>63.70999908</v>
      </c>
      <c r="F111" s="1">
        <v>36.29000092</v>
      </c>
      <c r="G111" s="4">
        <f t="shared" si="2"/>
        <v>2640.299394</v>
      </c>
      <c r="R111" s="5">
        <v>85.21974318</v>
      </c>
      <c r="S111" s="5">
        <f t="shared" si="5"/>
        <v>85</v>
      </c>
      <c r="T111" s="5">
        <v>3.566857739</v>
      </c>
      <c r="U111" s="5">
        <v>10.62886799</v>
      </c>
      <c r="V111" s="5">
        <v>0.5845310938</v>
      </c>
      <c r="W111" s="5"/>
      <c r="X111" s="1">
        <v>78.47295942</v>
      </c>
      <c r="Y111" s="1">
        <v>5.598583786</v>
      </c>
      <c r="Z111" s="1">
        <v>15.0109696</v>
      </c>
      <c r="AA111" s="1">
        <v>0.9174871957</v>
      </c>
      <c r="AB111" s="1"/>
      <c r="AC111" s="1">
        <v>97.06426222</v>
      </c>
      <c r="AD111" s="1">
        <v>0.0</v>
      </c>
      <c r="AE111" s="1">
        <v>2.935737778</v>
      </c>
      <c r="AF111" s="1">
        <v>0.0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>
        <v>2.0</v>
      </c>
      <c r="AQ111" s="1">
        <v>7275.556152</v>
      </c>
      <c r="AR111" s="1">
        <v>36.29000092</v>
      </c>
      <c r="AS111" s="5">
        <v>85.21974318</v>
      </c>
      <c r="AT111" s="5">
        <v>3.566857739</v>
      </c>
      <c r="AU111" s="5">
        <v>10.62886799</v>
      </c>
      <c r="AV111" s="5">
        <v>0.5845310938</v>
      </c>
    </row>
    <row r="112">
      <c r="A112" s="1" t="s">
        <v>129</v>
      </c>
      <c r="B112" s="1">
        <v>4.0</v>
      </c>
      <c r="C112" s="1">
        <v>7496.987793</v>
      </c>
      <c r="D112" s="1">
        <f t="shared" si="4"/>
        <v>8000000</v>
      </c>
      <c r="E112" s="2">
        <f t="shared" si="1"/>
        <v>0</v>
      </c>
      <c r="F112" s="1">
        <v>100.0</v>
      </c>
      <c r="G112" s="4">
        <f t="shared" si="2"/>
        <v>7496.987793</v>
      </c>
      <c r="R112" s="5">
        <v>100.0</v>
      </c>
      <c r="S112" s="5">
        <f t="shared" si="5"/>
        <v>100</v>
      </c>
      <c r="T112" s="5">
        <v>0.0</v>
      </c>
      <c r="U112" s="5">
        <v>0.0</v>
      </c>
      <c r="V112" s="5">
        <v>0.0</v>
      </c>
      <c r="W112" s="5"/>
      <c r="X112" s="1" t="s">
        <v>19</v>
      </c>
      <c r="Y112" s="1" t="s">
        <v>19</v>
      </c>
      <c r="Z112" s="1" t="s">
        <v>19</v>
      </c>
      <c r="AA112" s="1" t="s">
        <v>19</v>
      </c>
      <c r="AB112" s="1"/>
      <c r="AC112" s="1">
        <v>100.0</v>
      </c>
      <c r="AD112" s="1">
        <v>0.0</v>
      </c>
      <c r="AE112" s="1">
        <v>0.0</v>
      </c>
      <c r="AF112" s="1">
        <v>0.0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>
        <v>4.0</v>
      </c>
      <c r="AQ112" s="1">
        <v>7496.987793</v>
      </c>
      <c r="AR112" s="1">
        <v>100.0</v>
      </c>
      <c r="AS112" s="5">
        <v>100.0</v>
      </c>
      <c r="AT112" s="5">
        <v>0.0</v>
      </c>
      <c r="AU112" s="5">
        <v>0.0</v>
      </c>
      <c r="AV112" s="5">
        <v>0.0</v>
      </c>
    </row>
    <row r="113">
      <c r="A113" s="1" t="s">
        <v>130</v>
      </c>
      <c r="B113" s="1">
        <v>1.0</v>
      </c>
      <c r="C113" s="1">
        <v>7976.984863</v>
      </c>
      <c r="D113" s="1">
        <f t="shared" si="4"/>
        <v>8000000</v>
      </c>
      <c r="E113" s="2">
        <f t="shared" si="1"/>
        <v>57.07699966</v>
      </c>
      <c r="F113" s="1">
        <v>42.92300034</v>
      </c>
      <c r="G113" s="4">
        <f t="shared" si="2"/>
        <v>3423.96124</v>
      </c>
      <c r="R113" s="5">
        <v>63.76628562</v>
      </c>
      <c r="S113" s="5">
        <f t="shared" si="5"/>
        <v>64</v>
      </c>
      <c r="T113" s="5">
        <v>9.023316357</v>
      </c>
      <c r="U113" s="5">
        <v>15.5639457</v>
      </c>
      <c r="V113" s="5">
        <v>11.64645233</v>
      </c>
      <c r="W113" s="5"/>
      <c r="X113" s="1">
        <v>52.75270267</v>
      </c>
      <c r="Y113" s="1">
        <v>5.221136889</v>
      </c>
      <c r="Z113" s="1">
        <v>23.14294909</v>
      </c>
      <c r="AA113" s="1">
        <v>18.88321135</v>
      </c>
      <c r="AB113" s="1"/>
      <c r="AC113" s="1">
        <v>78.41163766</v>
      </c>
      <c r="AD113" s="1">
        <v>14.07927743</v>
      </c>
      <c r="AE113" s="1">
        <v>5.485735437</v>
      </c>
      <c r="AF113" s="1">
        <v>2.023349475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>
        <v>1.0</v>
      </c>
      <c r="AQ113" s="1">
        <v>7976.984863</v>
      </c>
      <c r="AR113" s="1">
        <v>42.92300034</v>
      </c>
      <c r="AS113" s="5">
        <v>63.76628562</v>
      </c>
      <c r="AT113" s="5">
        <v>9.023316357</v>
      </c>
      <c r="AU113" s="5">
        <v>15.5639457</v>
      </c>
      <c r="AV113" s="5">
        <v>11.64645233</v>
      </c>
    </row>
    <row r="114">
      <c r="A114" s="1" t="s">
        <v>131</v>
      </c>
      <c r="B114" s="1">
        <v>1.0</v>
      </c>
      <c r="C114" s="1">
        <v>8278.737305</v>
      </c>
      <c r="D114" s="1">
        <f t="shared" si="4"/>
        <v>9000000</v>
      </c>
      <c r="E114" s="2">
        <f t="shared" si="1"/>
        <v>57.20000076</v>
      </c>
      <c r="F114" s="1">
        <v>42.79999924</v>
      </c>
      <c r="G114" s="4">
        <f t="shared" si="2"/>
        <v>3543.299504</v>
      </c>
      <c r="R114" s="5">
        <v>68.58372009</v>
      </c>
      <c r="S114" s="5">
        <f t="shared" si="5"/>
        <v>69</v>
      </c>
      <c r="T114" s="5">
        <v>6.065434765</v>
      </c>
      <c r="U114" s="5">
        <v>14.16432245</v>
      </c>
      <c r="V114" s="5">
        <v>11.18652269</v>
      </c>
      <c r="W114" s="5"/>
      <c r="X114" s="1">
        <v>52.11755275</v>
      </c>
      <c r="Y114" s="1">
        <v>8.187542019</v>
      </c>
      <c r="Z114" s="1">
        <v>20.7910842</v>
      </c>
      <c r="AA114" s="1">
        <v>18.90382103</v>
      </c>
      <c r="AB114" s="1"/>
      <c r="AC114" s="1">
        <v>90.58991001</v>
      </c>
      <c r="AD114" s="1">
        <v>3.229348056</v>
      </c>
      <c r="AE114" s="1">
        <v>5.307990528</v>
      </c>
      <c r="AF114" s="1">
        <v>0.8727514049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>
        <v>1.0</v>
      </c>
      <c r="AQ114" s="1">
        <v>8278.737305</v>
      </c>
      <c r="AR114" s="1">
        <v>42.79999924</v>
      </c>
      <c r="AS114" s="5">
        <v>68.58372009</v>
      </c>
      <c r="AT114" s="5">
        <v>6.065434765</v>
      </c>
      <c r="AU114" s="5">
        <v>14.16432245</v>
      </c>
      <c r="AV114" s="5">
        <v>11.18652269</v>
      </c>
    </row>
    <row r="115">
      <c r="A115" s="1" t="s">
        <v>132</v>
      </c>
      <c r="B115" s="1">
        <v>4.0</v>
      </c>
      <c r="C115" s="1">
        <v>8654.618164</v>
      </c>
      <c r="D115" s="1">
        <f t="shared" si="4"/>
        <v>9000000</v>
      </c>
      <c r="E115" s="2">
        <f t="shared" si="1"/>
        <v>26.08499908</v>
      </c>
      <c r="F115" s="1">
        <v>73.91500092</v>
      </c>
      <c r="G115" s="4">
        <f t="shared" si="2"/>
        <v>6397.061096</v>
      </c>
      <c r="R115" s="5">
        <v>100.0000028</v>
      </c>
      <c r="S115" s="5">
        <f t="shared" si="5"/>
        <v>100</v>
      </c>
      <c r="T115" s="5">
        <v>0.0</v>
      </c>
      <c r="U115" s="5">
        <v>0.0</v>
      </c>
      <c r="V115" s="5">
        <v>0.0</v>
      </c>
      <c r="W115" s="5"/>
      <c r="X115" s="1">
        <v>100.0</v>
      </c>
      <c r="Y115" s="1">
        <v>0.0</v>
      </c>
      <c r="Z115" s="1">
        <v>0.0</v>
      </c>
      <c r="AA115" s="1">
        <v>0.0</v>
      </c>
      <c r="AB115" s="1"/>
      <c r="AC115" s="1">
        <v>100.0</v>
      </c>
      <c r="AD115" s="1">
        <v>0.0</v>
      </c>
      <c r="AE115" s="1">
        <v>0.0</v>
      </c>
      <c r="AF115" s="1">
        <v>0.0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>
        <v>4.0</v>
      </c>
      <c r="AQ115" s="1">
        <v>8654.618164</v>
      </c>
      <c r="AR115" s="1">
        <v>73.91500092</v>
      </c>
      <c r="AS115" s="5">
        <v>100.0000028</v>
      </c>
      <c r="AT115" s="5">
        <v>0.0</v>
      </c>
      <c r="AU115" s="5">
        <v>0.0</v>
      </c>
      <c r="AV115" s="5">
        <v>0.0</v>
      </c>
    </row>
    <row r="116">
      <c r="A116" s="1" t="s">
        <v>133</v>
      </c>
      <c r="B116" s="1">
        <v>4.0</v>
      </c>
      <c r="C116" s="1">
        <v>8655.541016</v>
      </c>
      <c r="D116" s="1">
        <f t="shared" si="4"/>
        <v>9000000</v>
      </c>
      <c r="E116" s="2">
        <f t="shared" si="1"/>
        <v>7.41300201</v>
      </c>
      <c r="F116" s="1">
        <v>92.58699799</v>
      </c>
      <c r="G116" s="4">
        <f t="shared" si="2"/>
        <v>8013.905587</v>
      </c>
      <c r="R116" s="5">
        <v>100.0</v>
      </c>
      <c r="S116" s="5">
        <f t="shared" si="5"/>
        <v>100</v>
      </c>
      <c r="T116" s="5">
        <v>0.0</v>
      </c>
      <c r="U116" s="5">
        <v>0.0</v>
      </c>
      <c r="V116" s="5">
        <v>0.0</v>
      </c>
      <c r="W116" s="5"/>
      <c r="X116" s="1">
        <v>100.0</v>
      </c>
      <c r="Y116" s="1">
        <v>0.0</v>
      </c>
      <c r="Z116" s="1">
        <v>0.0</v>
      </c>
      <c r="AA116" s="1">
        <v>0.0</v>
      </c>
      <c r="AB116" s="1"/>
      <c r="AC116" s="1">
        <v>100.0</v>
      </c>
      <c r="AD116" s="1">
        <v>0.0</v>
      </c>
      <c r="AE116" s="1">
        <v>0.0</v>
      </c>
      <c r="AF116" s="1">
        <v>0.0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>
        <v>4.0</v>
      </c>
      <c r="AQ116" s="1">
        <v>8655.541016</v>
      </c>
      <c r="AR116" s="1">
        <v>92.58699799</v>
      </c>
      <c r="AS116" s="5">
        <v>100.0</v>
      </c>
      <c r="AT116" s="5">
        <v>0.0</v>
      </c>
      <c r="AU116" s="5">
        <v>0.0</v>
      </c>
      <c r="AV116" s="5">
        <v>0.0</v>
      </c>
    </row>
    <row r="117">
      <c r="A117" s="1" t="s">
        <v>134</v>
      </c>
      <c r="B117" s="1">
        <v>3.0</v>
      </c>
      <c r="C117" s="1">
        <v>8737.370117</v>
      </c>
      <c r="D117" s="1">
        <f t="shared" si="4"/>
        <v>9000000</v>
      </c>
      <c r="E117" s="2">
        <f t="shared" si="1"/>
        <v>43.55400085</v>
      </c>
      <c r="F117" s="1">
        <v>56.44599915</v>
      </c>
      <c r="G117" s="4">
        <f t="shared" si="2"/>
        <v>4931.895862</v>
      </c>
      <c r="R117" s="5">
        <v>95.29552932</v>
      </c>
      <c r="S117" s="5">
        <f t="shared" si="5"/>
        <v>95</v>
      </c>
      <c r="T117" s="5">
        <v>4.244199279</v>
      </c>
      <c r="U117" s="5">
        <v>0.4437204778</v>
      </c>
      <c r="V117" s="5">
        <v>0.01655092647</v>
      </c>
      <c r="W117" s="5"/>
      <c r="X117" s="1">
        <v>95.84497475</v>
      </c>
      <c r="Y117" s="1">
        <v>3.545864028</v>
      </c>
      <c r="Z117" s="1">
        <v>0.5711602866</v>
      </c>
      <c r="AA117" s="1">
        <v>0.03800093141</v>
      </c>
      <c r="AB117" s="1"/>
      <c r="AC117" s="1">
        <v>94.87156989</v>
      </c>
      <c r="AD117" s="1">
        <v>4.783037865</v>
      </c>
      <c r="AE117" s="1">
        <v>0.3453922445</v>
      </c>
      <c r="AF117" s="1">
        <v>0.0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>
        <v>3.0</v>
      </c>
      <c r="AQ117" s="1">
        <v>8737.370117</v>
      </c>
      <c r="AR117" s="1">
        <v>56.44599915</v>
      </c>
      <c r="AS117" s="5">
        <v>95.29552932</v>
      </c>
      <c r="AT117" s="5">
        <v>4.244199279</v>
      </c>
      <c r="AU117" s="5">
        <v>0.4437204778</v>
      </c>
      <c r="AV117" s="5">
        <v>0.01655092647</v>
      </c>
    </row>
    <row r="118">
      <c r="A118" s="1" t="s">
        <v>135</v>
      </c>
      <c r="B118" s="1">
        <v>2.0</v>
      </c>
      <c r="C118" s="1">
        <v>8947.027344</v>
      </c>
      <c r="D118" s="1">
        <f t="shared" si="4"/>
        <v>9000000</v>
      </c>
      <c r="E118" s="2">
        <f t="shared" si="1"/>
        <v>86.65499973</v>
      </c>
      <c r="F118" s="1">
        <v>13.34500027</v>
      </c>
      <c r="G118" s="4">
        <f t="shared" si="2"/>
        <v>1193.980823</v>
      </c>
      <c r="R118" s="5">
        <v>45.34401752</v>
      </c>
      <c r="S118" s="5">
        <f t="shared" si="5"/>
        <v>45</v>
      </c>
      <c r="T118" s="5">
        <v>2.128564452</v>
      </c>
      <c r="U118" s="5">
        <v>22.15762495</v>
      </c>
      <c r="V118" s="5">
        <v>30.36979308</v>
      </c>
      <c r="W118" s="5"/>
      <c r="X118" s="1">
        <v>39.07134367</v>
      </c>
      <c r="Y118" s="1">
        <v>2.429850293</v>
      </c>
      <c r="Z118" s="1">
        <v>24.43180086</v>
      </c>
      <c r="AA118" s="1">
        <v>34.06700517</v>
      </c>
      <c r="AB118" s="1"/>
      <c r="AC118" s="1">
        <v>86.07527164</v>
      </c>
      <c r="AD118" s="1">
        <v>0.1721822608</v>
      </c>
      <c r="AE118" s="1">
        <v>7.390385564</v>
      </c>
      <c r="AF118" s="1">
        <v>6.362160532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>
        <v>2.0</v>
      </c>
      <c r="AQ118" s="1">
        <v>8947.027344</v>
      </c>
      <c r="AR118" s="1">
        <v>13.34500027</v>
      </c>
      <c r="AS118" s="5">
        <v>45.34401752</v>
      </c>
      <c r="AT118" s="5">
        <v>2.128564452</v>
      </c>
      <c r="AU118" s="5">
        <v>22.15762495</v>
      </c>
      <c r="AV118" s="5">
        <v>30.36979308</v>
      </c>
    </row>
    <row r="119">
      <c r="A119" s="1" t="s">
        <v>136</v>
      </c>
      <c r="B119" s="1">
        <v>4.0</v>
      </c>
      <c r="C119" s="1">
        <v>9006.400391</v>
      </c>
      <c r="D119" s="1">
        <f t="shared" si="4"/>
        <v>10000000</v>
      </c>
      <c r="E119" s="2">
        <f t="shared" si="1"/>
        <v>41.2519989</v>
      </c>
      <c r="F119" s="1">
        <v>58.7480011</v>
      </c>
      <c r="G119" s="4">
        <f t="shared" si="2"/>
        <v>5291.080201</v>
      </c>
      <c r="R119" s="5">
        <v>100.0</v>
      </c>
      <c r="S119" s="5">
        <f t="shared" si="5"/>
        <v>100</v>
      </c>
      <c r="T119" s="5">
        <v>0.0</v>
      </c>
      <c r="U119" s="5">
        <v>0.0</v>
      </c>
      <c r="V119" s="5">
        <v>0.0</v>
      </c>
      <c r="W119" s="5"/>
      <c r="X119" s="1">
        <v>100.0</v>
      </c>
      <c r="Y119" s="1">
        <v>0.0</v>
      </c>
      <c r="Z119" s="1">
        <v>0.0</v>
      </c>
      <c r="AA119" s="1">
        <v>0.0</v>
      </c>
      <c r="AB119" s="1"/>
      <c r="AC119" s="1">
        <v>100.0</v>
      </c>
      <c r="AD119" s="1">
        <v>0.0</v>
      </c>
      <c r="AE119" s="1">
        <v>0.0</v>
      </c>
      <c r="AF119" s="1">
        <v>0.0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>
        <v>4.0</v>
      </c>
      <c r="AQ119" s="1">
        <v>9006.400391</v>
      </c>
      <c r="AR119" s="1">
        <v>58.7480011</v>
      </c>
      <c r="AS119" s="5">
        <v>100.0</v>
      </c>
      <c r="AT119" s="5">
        <v>0.0</v>
      </c>
      <c r="AU119" s="5">
        <v>0.0</v>
      </c>
      <c r="AV119" s="5">
        <v>0.0</v>
      </c>
    </row>
    <row r="120">
      <c r="A120" s="1" t="s">
        <v>137</v>
      </c>
      <c r="B120" s="1">
        <v>3.0</v>
      </c>
      <c r="C120" s="1">
        <v>9449.321289</v>
      </c>
      <c r="D120" s="1">
        <f t="shared" si="4"/>
        <v>10000000</v>
      </c>
      <c r="E120" s="2">
        <f t="shared" si="1"/>
        <v>20.51699829</v>
      </c>
      <c r="F120" s="1">
        <v>79.48300171</v>
      </c>
      <c r="G120" s="4">
        <f t="shared" si="2"/>
        <v>7510.604202</v>
      </c>
      <c r="R120" s="5">
        <v>96.53472608</v>
      </c>
      <c r="S120" s="5">
        <f t="shared" si="5"/>
        <v>97</v>
      </c>
      <c r="T120" s="5">
        <v>3.37211955</v>
      </c>
      <c r="U120" s="5">
        <v>0.09315436837</v>
      </c>
      <c r="V120" s="5">
        <v>0.0</v>
      </c>
      <c r="W120" s="5"/>
      <c r="X120" s="1">
        <v>98.56412231</v>
      </c>
      <c r="Y120" s="1">
        <v>0.9955971951</v>
      </c>
      <c r="Z120" s="1">
        <v>0.4402804931</v>
      </c>
      <c r="AA120" s="1">
        <v>0.0</v>
      </c>
      <c r="AB120" s="1"/>
      <c r="AC120" s="1">
        <v>96.01087362</v>
      </c>
      <c r="AD120" s="1">
        <v>3.985572644</v>
      </c>
      <c r="AE120" s="1">
        <v>0.003553731977</v>
      </c>
      <c r="AF120" s="1">
        <v>0.0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>
        <v>3.0</v>
      </c>
      <c r="AQ120" s="1">
        <v>9449.321289</v>
      </c>
      <c r="AR120" s="1">
        <v>79.48300171</v>
      </c>
      <c r="AS120" s="5">
        <v>96.53472608</v>
      </c>
      <c r="AT120" s="5">
        <v>3.37211955</v>
      </c>
      <c r="AU120" s="5">
        <v>0.09315436837</v>
      </c>
      <c r="AV120" s="5">
        <v>0.0</v>
      </c>
    </row>
    <row r="121">
      <c r="A121" s="1" t="s">
        <v>138</v>
      </c>
      <c r="B121" s="1">
        <v>2.0</v>
      </c>
      <c r="C121" s="1">
        <v>9537.641602</v>
      </c>
      <c r="D121" s="1">
        <f t="shared" si="4"/>
        <v>10000000</v>
      </c>
      <c r="E121" s="2">
        <f t="shared" si="1"/>
        <v>72.49400139</v>
      </c>
      <c r="F121" s="1">
        <v>27.50599861</v>
      </c>
      <c r="G121" s="4">
        <f t="shared" si="2"/>
        <v>2623.423566</v>
      </c>
      <c r="R121" s="5">
        <v>81.85241502</v>
      </c>
      <c r="S121" s="5">
        <f t="shared" si="5"/>
        <v>82</v>
      </c>
      <c r="T121" s="5">
        <v>2.568363935</v>
      </c>
      <c r="U121" s="5">
        <v>3.421857005</v>
      </c>
      <c r="V121" s="5">
        <v>12.15736404</v>
      </c>
      <c r="W121" s="5"/>
      <c r="X121" s="1">
        <v>76.6435992</v>
      </c>
      <c r="Y121" s="1">
        <v>3.207143928</v>
      </c>
      <c r="Z121" s="1">
        <v>4.140706948</v>
      </c>
      <c r="AA121" s="1">
        <v>16.00854992</v>
      </c>
      <c r="AB121" s="1"/>
      <c r="AC121" s="1">
        <v>95.58062386</v>
      </c>
      <c r="AD121" s="1">
        <v>0.8848144763</v>
      </c>
      <c r="AE121" s="1">
        <v>1.527268323</v>
      </c>
      <c r="AF121" s="1">
        <v>2.007293339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>
        <v>2.0</v>
      </c>
      <c r="AQ121" s="1">
        <v>9537.641602</v>
      </c>
      <c r="AR121" s="1">
        <v>27.50599861</v>
      </c>
      <c r="AS121" s="5">
        <v>81.85241502</v>
      </c>
      <c r="AT121" s="5">
        <v>2.568363935</v>
      </c>
      <c r="AU121" s="5">
        <v>3.421857005</v>
      </c>
      <c r="AV121" s="5">
        <v>12.15736404</v>
      </c>
    </row>
    <row r="122">
      <c r="A122" s="1" t="s">
        <v>139</v>
      </c>
      <c r="B122" s="1">
        <v>4.0</v>
      </c>
      <c r="C122" s="1">
        <v>9660.349609</v>
      </c>
      <c r="D122" s="1">
        <f t="shared" si="4"/>
        <v>10000000</v>
      </c>
      <c r="E122" s="2">
        <f t="shared" si="1"/>
        <v>28.05799866</v>
      </c>
      <c r="F122" s="1">
        <v>71.94200134</v>
      </c>
      <c r="G122" s="4">
        <f t="shared" si="2"/>
        <v>6949.848845</v>
      </c>
      <c r="R122" s="5">
        <v>99.99999747</v>
      </c>
      <c r="S122" s="5">
        <f t="shared" si="5"/>
        <v>100</v>
      </c>
      <c r="T122" s="5">
        <v>0.0</v>
      </c>
      <c r="U122" s="5">
        <v>2.527244192E-6</v>
      </c>
      <c r="V122" s="5">
        <v>0.0</v>
      </c>
      <c r="W122" s="5"/>
      <c r="X122" s="1">
        <v>100.0</v>
      </c>
      <c r="Y122" s="1">
        <v>0.0</v>
      </c>
      <c r="Z122" s="1">
        <v>0.0</v>
      </c>
      <c r="AA122" s="1">
        <v>0.0</v>
      </c>
      <c r="AB122" s="1"/>
      <c r="AC122" s="1">
        <v>100.0</v>
      </c>
      <c r="AD122" s="1">
        <v>0.0</v>
      </c>
      <c r="AE122" s="1">
        <v>0.0</v>
      </c>
      <c r="AF122" s="1">
        <v>0.0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>
        <v>4.0</v>
      </c>
      <c r="AQ122" s="1">
        <v>9660.349609</v>
      </c>
      <c r="AR122" s="1">
        <v>71.94200134</v>
      </c>
      <c r="AS122" s="5">
        <v>99.99999747</v>
      </c>
      <c r="AT122" s="5">
        <v>0.0</v>
      </c>
      <c r="AU122" s="5">
        <v>2.527244192E-6</v>
      </c>
      <c r="AV122" s="5">
        <v>0.0</v>
      </c>
    </row>
    <row r="123">
      <c r="A123" s="1" t="s">
        <v>140</v>
      </c>
      <c r="B123" s="1">
        <v>4.0</v>
      </c>
      <c r="C123" s="1">
        <v>9890.400391</v>
      </c>
      <c r="D123" s="1">
        <f t="shared" si="4"/>
        <v>10000000</v>
      </c>
      <c r="E123" s="2">
        <f t="shared" si="1"/>
        <v>12.95200348</v>
      </c>
      <c r="F123" s="1">
        <v>87.04799652</v>
      </c>
      <c r="G123" s="4">
        <f t="shared" si="2"/>
        <v>8609.395388</v>
      </c>
      <c r="R123" s="5">
        <v>99.965596</v>
      </c>
      <c r="S123" s="5">
        <f t="shared" si="5"/>
        <v>100</v>
      </c>
      <c r="T123" s="5">
        <v>0.0</v>
      </c>
      <c r="U123" s="5">
        <v>0.034404</v>
      </c>
      <c r="V123" s="5">
        <v>0.0</v>
      </c>
      <c r="W123" s="5"/>
      <c r="X123" s="1" t="s">
        <v>19</v>
      </c>
      <c r="Y123" s="1" t="s">
        <v>19</v>
      </c>
      <c r="Z123" s="1" t="s">
        <v>19</v>
      </c>
      <c r="AA123" s="1" t="s">
        <v>19</v>
      </c>
      <c r="AB123" s="1"/>
      <c r="AC123" s="1" t="s">
        <v>19</v>
      </c>
      <c r="AD123" s="1" t="s">
        <v>19</v>
      </c>
      <c r="AE123" s="1" t="s">
        <v>19</v>
      </c>
      <c r="AF123" s="1" t="s">
        <v>19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>
        <v>4.0</v>
      </c>
      <c r="AQ123" s="1">
        <v>9890.400391</v>
      </c>
      <c r="AR123" s="1">
        <v>87.04799652</v>
      </c>
      <c r="AS123" s="5">
        <v>99.965596</v>
      </c>
      <c r="AT123" s="5">
        <v>0.0</v>
      </c>
      <c r="AU123" s="5">
        <v>0.034404</v>
      </c>
      <c r="AV123" s="5">
        <v>0.0</v>
      </c>
    </row>
    <row r="124">
      <c r="A124" s="1" t="s">
        <v>141</v>
      </c>
      <c r="B124" s="1">
        <v>2.0</v>
      </c>
      <c r="C124" s="1">
        <v>9904.608398</v>
      </c>
      <c r="D124" s="1">
        <f t="shared" si="4"/>
        <v>10000000</v>
      </c>
      <c r="E124" s="2">
        <f t="shared" si="1"/>
        <v>41.64100266</v>
      </c>
      <c r="F124" s="1">
        <v>58.35899734</v>
      </c>
      <c r="G124" s="4">
        <f t="shared" si="2"/>
        <v>5780.230152</v>
      </c>
      <c r="R124" s="5">
        <v>95.68922113</v>
      </c>
      <c r="S124" s="5">
        <f t="shared" si="5"/>
        <v>96</v>
      </c>
      <c r="T124" s="5">
        <v>0.4256206085</v>
      </c>
      <c r="U124" s="5">
        <v>3.885158264</v>
      </c>
      <c r="V124" s="5">
        <v>0.0</v>
      </c>
      <c r="W124" s="5"/>
      <c r="X124" s="1">
        <v>89.87579955</v>
      </c>
      <c r="Y124" s="1">
        <v>0.8067095079</v>
      </c>
      <c r="Z124" s="1">
        <v>9.317490946</v>
      </c>
      <c r="AA124" s="1">
        <v>0.0</v>
      </c>
      <c r="AB124" s="1"/>
      <c r="AC124" s="1">
        <v>99.83728281</v>
      </c>
      <c r="AD124" s="1">
        <v>0.1537015262</v>
      </c>
      <c r="AE124" s="1">
        <v>0.009015663296</v>
      </c>
      <c r="AF124" s="1">
        <v>0.0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>
        <v>2.0</v>
      </c>
      <c r="AQ124" s="1">
        <v>9904.608398</v>
      </c>
      <c r="AR124" s="1">
        <v>58.35899734</v>
      </c>
      <c r="AS124" s="5">
        <v>95.68922113</v>
      </c>
      <c r="AT124" s="5">
        <v>0.4256206085</v>
      </c>
      <c r="AU124" s="5">
        <v>3.885158264</v>
      </c>
      <c r="AV124" s="5">
        <v>0.0</v>
      </c>
    </row>
    <row r="125">
      <c r="A125" s="1" t="s">
        <v>142</v>
      </c>
      <c r="B125" s="1">
        <v>4.0</v>
      </c>
      <c r="C125" s="1">
        <v>10099.26953</v>
      </c>
      <c r="D125" s="1">
        <f t="shared" si="4"/>
        <v>11000000</v>
      </c>
      <c r="E125" s="2">
        <f t="shared" si="1"/>
        <v>12.02300262</v>
      </c>
      <c r="F125" s="1">
        <v>87.97699738</v>
      </c>
      <c r="G125" s="4">
        <f t="shared" si="2"/>
        <v>8885.03409</v>
      </c>
      <c r="R125" s="5">
        <v>99.82686763</v>
      </c>
      <c r="S125" s="5">
        <f t="shared" si="5"/>
        <v>100</v>
      </c>
      <c r="T125" s="5">
        <v>0.0</v>
      </c>
      <c r="U125" s="5">
        <v>0.1731323735</v>
      </c>
      <c r="V125" s="5">
        <v>0.0</v>
      </c>
      <c r="W125" s="5"/>
      <c r="X125" s="1">
        <v>99.71937474</v>
      </c>
      <c r="Y125" s="1">
        <v>0.0</v>
      </c>
      <c r="Z125" s="1">
        <v>0.2806252626</v>
      </c>
      <c r="AA125" s="1">
        <v>0.0</v>
      </c>
      <c r="AB125" s="1"/>
      <c r="AC125" s="1">
        <v>99.84155768</v>
      </c>
      <c r="AD125" s="1">
        <v>0.0</v>
      </c>
      <c r="AE125" s="1">
        <v>0.1584423157</v>
      </c>
      <c r="AF125" s="1">
        <v>0.0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>
        <v>4.0</v>
      </c>
      <c r="AQ125" s="1">
        <v>10099.26953</v>
      </c>
      <c r="AR125" s="1">
        <v>87.97699738</v>
      </c>
      <c r="AS125" s="5">
        <v>99.82686763</v>
      </c>
      <c r="AT125" s="5">
        <v>0.0</v>
      </c>
      <c r="AU125" s="5">
        <v>0.1731323735</v>
      </c>
      <c r="AV125" s="5">
        <v>0.0</v>
      </c>
    </row>
    <row r="126">
      <c r="A126" s="1" t="s">
        <v>143</v>
      </c>
      <c r="B126" s="1">
        <v>3.0</v>
      </c>
      <c r="C126" s="1">
        <v>10139.1748</v>
      </c>
      <c r="D126" s="1">
        <f t="shared" si="4"/>
        <v>11000000</v>
      </c>
      <c r="E126" s="2">
        <f t="shared" si="1"/>
        <v>43.60299683</v>
      </c>
      <c r="F126" s="1">
        <v>56.39700317</v>
      </c>
      <c r="G126" s="4">
        <f t="shared" si="2"/>
        <v>5718.190733</v>
      </c>
      <c r="R126" s="5">
        <v>96.04337613</v>
      </c>
      <c r="S126" s="5">
        <f t="shared" si="5"/>
        <v>96</v>
      </c>
      <c r="T126" s="5">
        <v>1.04278118</v>
      </c>
      <c r="U126" s="5">
        <v>2.913842688</v>
      </c>
      <c r="V126" s="5">
        <v>0.0</v>
      </c>
      <c r="W126" s="5"/>
      <c r="X126" s="1">
        <v>90.92579795</v>
      </c>
      <c r="Y126" s="1">
        <v>2.391535671</v>
      </c>
      <c r="Z126" s="1">
        <v>6.682666377</v>
      </c>
      <c r="AA126" s="1">
        <v>0.0</v>
      </c>
      <c r="AB126" s="1"/>
      <c r="AC126" s="1">
        <v>100.0</v>
      </c>
      <c r="AD126" s="1">
        <v>0.0</v>
      </c>
      <c r="AE126" s="1">
        <v>0.0</v>
      </c>
      <c r="AF126" s="1">
        <v>0.0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>
        <v>3.0</v>
      </c>
      <c r="AQ126" s="1">
        <v>10139.1748</v>
      </c>
      <c r="AR126" s="1">
        <v>56.39700317</v>
      </c>
      <c r="AS126" s="5">
        <v>96.04337613</v>
      </c>
      <c r="AT126" s="5">
        <v>1.04278118</v>
      </c>
      <c r="AU126" s="5">
        <v>2.913842688</v>
      </c>
      <c r="AV126" s="5">
        <v>0.0</v>
      </c>
    </row>
    <row r="127">
      <c r="A127" s="1" t="s">
        <v>144</v>
      </c>
      <c r="B127" s="1">
        <v>4.0</v>
      </c>
      <c r="C127" s="1">
        <v>10196.70703</v>
      </c>
      <c r="D127" s="1">
        <f t="shared" si="4"/>
        <v>11000000</v>
      </c>
      <c r="E127" s="2">
        <f t="shared" si="1"/>
        <v>33.69000244</v>
      </c>
      <c r="F127" s="1">
        <v>66.30999756</v>
      </c>
      <c r="G127" s="4">
        <f t="shared" si="2"/>
        <v>6761.436183</v>
      </c>
      <c r="R127" s="5">
        <v>99.91199367</v>
      </c>
      <c r="S127" s="5">
        <f t="shared" si="5"/>
        <v>100</v>
      </c>
      <c r="T127" s="5">
        <v>0.0</v>
      </c>
      <c r="U127" s="5">
        <v>0.08800633369</v>
      </c>
      <c r="V127" s="5">
        <v>0.0</v>
      </c>
      <c r="W127" s="5"/>
      <c r="X127" s="1">
        <v>99.73877609</v>
      </c>
      <c r="Y127" s="1">
        <v>0.0</v>
      </c>
      <c r="Z127" s="1">
        <v>0.2612239122</v>
      </c>
      <c r="AA127" s="1">
        <v>0.0</v>
      </c>
      <c r="AB127" s="1"/>
      <c r="AC127" s="1">
        <v>100.0</v>
      </c>
      <c r="AD127" s="1">
        <v>0.0</v>
      </c>
      <c r="AE127" s="1">
        <v>0.0</v>
      </c>
      <c r="AF127" s="1">
        <v>0.0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>
        <v>4.0</v>
      </c>
      <c r="AQ127" s="1">
        <v>10196.70703</v>
      </c>
      <c r="AR127" s="1">
        <v>66.30999756</v>
      </c>
      <c r="AS127" s="5">
        <v>99.91199367</v>
      </c>
      <c r="AT127" s="5">
        <v>0.0</v>
      </c>
      <c r="AU127" s="5">
        <v>0.08800633369</v>
      </c>
      <c r="AV127" s="5">
        <v>0.0</v>
      </c>
    </row>
    <row r="128">
      <c r="A128" s="1" t="s">
        <v>145</v>
      </c>
      <c r="B128" s="1">
        <v>3.0</v>
      </c>
      <c r="C128" s="1">
        <v>10203.13965</v>
      </c>
      <c r="D128" s="1">
        <f t="shared" si="4"/>
        <v>11000000</v>
      </c>
      <c r="E128" s="2">
        <f t="shared" si="1"/>
        <v>8.58200073</v>
      </c>
      <c r="F128" s="1">
        <v>91.41799927</v>
      </c>
      <c r="G128" s="4">
        <f t="shared" si="2"/>
        <v>9327.506131</v>
      </c>
      <c r="R128" s="5">
        <v>98.94030296</v>
      </c>
      <c r="S128" s="5">
        <f t="shared" si="5"/>
        <v>99</v>
      </c>
      <c r="T128" s="5">
        <v>0.1462147369</v>
      </c>
      <c r="U128" s="5">
        <v>0.8536474704</v>
      </c>
      <c r="V128" s="5">
        <v>0.05983483179</v>
      </c>
      <c r="W128" s="5"/>
      <c r="X128" s="1">
        <v>97.31147869</v>
      </c>
      <c r="Y128" s="1">
        <v>0.6239465945</v>
      </c>
      <c r="Z128" s="1">
        <v>2.024714716</v>
      </c>
      <c r="AA128" s="1">
        <v>0.03986</v>
      </c>
      <c r="AB128" s="1"/>
      <c r="AC128" s="1">
        <v>99.09321259</v>
      </c>
      <c r="AD128" s="1">
        <v>0.1013669408</v>
      </c>
      <c r="AE128" s="1">
        <v>0.7437104707</v>
      </c>
      <c r="AF128" s="1">
        <v>0.06171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>
        <v>3.0</v>
      </c>
      <c r="AQ128" s="1">
        <v>10203.13965</v>
      </c>
      <c r="AR128" s="1">
        <v>91.41799927</v>
      </c>
      <c r="AS128" s="5">
        <v>98.94030296</v>
      </c>
      <c r="AT128" s="5">
        <v>0.1462147369</v>
      </c>
      <c r="AU128" s="5">
        <v>0.8536474704</v>
      </c>
      <c r="AV128" s="5">
        <v>0.05983483179</v>
      </c>
    </row>
    <row r="129">
      <c r="A129" s="1" t="s">
        <v>146</v>
      </c>
      <c r="B129" s="1">
        <v>4.0</v>
      </c>
      <c r="C129" s="1">
        <v>10423.05566</v>
      </c>
      <c r="D129" s="1">
        <f t="shared" si="4"/>
        <v>11000000</v>
      </c>
      <c r="E129" s="2">
        <f t="shared" si="1"/>
        <v>20.28499603</v>
      </c>
      <c r="F129" s="1">
        <v>79.71500397</v>
      </c>
      <c r="G129" s="4">
        <f t="shared" si="2"/>
        <v>8308.739233</v>
      </c>
      <c r="R129" s="5">
        <v>100.0000023</v>
      </c>
      <c r="S129" s="5">
        <f t="shared" si="5"/>
        <v>100</v>
      </c>
      <c r="T129" s="5">
        <v>0.0</v>
      </c>
      <c r="U129" s="5">
        <v>0.0</v>
      </c>
      <c r="V129" s="5">
        <v>0.0</v>
      </c>
      <c r="W129" s="5"/>
      <c r="X129" s="1">
        <v>100.0</v>
      </c>
      <c r="Y129" s="1">
        <v>0.0</v>
      </c>
      <c r="Z129" s="1">
        <v>0.0</v>
      </c>
      <c r="AA129" s="1">
        <v>0.0</v>
      </c>
      <c r="AB129" s="1"/>
      <c r="AC129" s="1">
        <v>100.0</v>
      </c>
      <c r="AD129" s="1">
        <v>0.0</v>
      </c>
      <c r="AE129" s="1">
        <v>0.0</v>
      </c>
      <c r="AF129" s="1">
        <v>0.0</v>
      </c>
      <c r="AG129" s="1"/>
      <c r="AH129" s="1"/>
      <c r="AI129" s="1"/>
      <c r="AJ129" s="1"/>
      <c r="AK129" s="1"/>
      <c r="AL129" s="1"/>
      <c r="AM129" s="1"/>
      <c r="AN129" s="1"/>
      <c r="AO129" s="1"/>
      <c r="AP129" s="1">
        <v>4.0</v>
      </c>
      <c r="AQ129" s="1">
        <v>10423.05566</v>
      </c>
      <c r="AR129" s="1">
        <v>79.71500397</v>
      </c>
      <c r="AS129" s="5">
        <v>100.0000023</v>
      </c>
      <c r="AT129" s="5">
        <v>0.0</v>
      </c>
      <c r="AU129" s="5">
        <v>0.0</v>
      </c>
      <c r="AV129" s="5">
        <v>0.0</v>
      </c>
    </row>
    <row r="130">
      <c r="A130" s="1" t="s">
        <v>147</v>
      </c>
      <c r="B130" s="1">
        <v>4.0</v>
      </c>
      <c r="C130" s="1">
        <v>10708.98242</v>
      </c>
      <c r="D130" s="1">
        <f t="shared" si="4"/>
        <v>11000000</v>
      </c>
      <c r="E130" s="2">
        <f t="shared" si="1"/>
        <v>25.93899536</v>
      </c>
      <c r="F130" s="1">
        <v>74.06100464</v>
      </c>
      <c r="G130" s="4">
        <f t="shared" si="2"/>
        <v>7931.179967</v>
      </c>
      <c r="R130" s="5">
        <v>99.88059167</v>
      </c>
      <c r="S130" s="5">
        <f t="shared" si="5"/>
        <v>100</v>
      </c>
      <c r="T130" s="5">
        <v>0.0</v>
      </c>
      <c r="U130" s="5">
        <v>0.1194083325</v>
      </c>
      <c r="V130" s="5">
        <v>0.0</v>
      </c>
      <c r="W130" s="5"/>
      <c r="X130" s="1">
        <v>99.8175993</v>
      </c>
      <c r="Y130" s="1">
        <v>0.0</v>
      </c>
      <c r="Z130" s="1">
        <v>0.1824006965</v>
      </c>
      <c r="AA130" s="1">
        <v>0.0</v>
      </c>
      <c r="AB130" s="1"/>
      <c r="AC130" s="1">
        <v>99.90265093</v>
      </c>
      <c r="AD130" s="1">
        <v>0.0</v>
      </c>
      <c r="AE130" s="1">
        <v>0.0973490679</v>
      </c>
      <c r="AF130" s="1">
        <v>0.0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>
        <v>4.0</v>
      </c>
      <c r="AQ130" s="1">
        <v>10708.98242</v>
      </c>
      <c r="AR130" s="1">
        <v>74.06100464</v>
      </c>
      <c r="AS130" s="5">
        <v>99.88059167</v>
      </c>
      <c r="AT130" s="5">
        <v>0.0</v>
      </c>
      <c r="AU130" s="5">
        <v>0.1194083325</v>
      </c>
      <c r="AV130" s="5">
        <v>0.0</v>
      </c>
    </row>
    <row r="131">
      <c r="A131" s="1" t="s">
        <v>148</v>
      </c>
      <c r="B131" s="1">
        <v>3.0</v>
      </c>
      <c r="C131" s="1">
        <v>10847.9043</v>
      </c>
      <c r="D131" s="1">
        <f t="shared" si="4"/>
        <v>11000000</v>
      </c>
      <c r="E131" s="2">
        <f t="shared" si="1"/>
        <v>17.45999908</v>
      </c>
      <c r="F131" s="1">
        <v>82.54000092</v>
      </c>
      <c r="G131" s="4">
        <f t="shared" si="2"/>
        <v>8953.860309</v>
      </c>
      <c r="R131" s="5">
        <v>96.68681192</v>
      </c>
      <c r="S131" s="5">
        <f t="shared" si="5"/>
        <v>97</v>
      </c>
      <c r="T131" s="5">
        <v>0.4670386504</v>
      </c>
      <c r="U131" s="5">
        <v>1.269428783</v>
      </c>
      <c r="V131" s="5">
        <v>1.576720644</v>
      </c>
      <c r="W131" s="5"/>
      <c r="X131" s="1">
        <v>90.30446437</v>
      </c>
      <c r="Y131" s="1">
        <v>1.385315508</v>
      </c>
      <c r="Z131" s="1">
        <v>1.115118127</v>
      </c>
      <c r="AA131" s="1">
        <v>7.195101991</v>
      </c>
      <c r="AB131" s="1"/>
      <c r="AC131" s="1">
        <v>98.03689158</v>
      </c>
      <c r="AD131" s="1">
        <v>0.2727920359</v>
      </c>
      <c r="AE131" s="1">
        <v>1.302073396</v>
      </c>
      <c r="AF131" s="1">
        <v>0.3882429922</v>
      </c>
      <c r="AG131" s="1"/>
      <c r="AH131" s="1"/>
      <c r="AI131" s="1"/>
      <c r="AJ131" s="1"/>
      <c r="AK131" s="1"/>
      <c r="AL131" s="1"/>
      <c r="AM131" s="1"/>
      <c r="AN131" s="1"/>
      <c r="AO131" s="1"/>
      <c r="AP131" s="1">
        <v>3.0</v>
      </c>
      <c r="AQ131" s="1">
        <v>10847.9043</v>
      </c>
      <c r="AR131" s="1">
        <v>82.54000092</v>
      </c>
      <c r="AS131" s="5">
        <v>96.68681192</v>
      </c>
      <c r="AT131" s="5">
        <v>0.4670386504</v>
      </c>
      <c r="AU131" s="5">
        <v>1.269428783</v>
      </c>
      <c r="AV131" s="5">
        <v>1.576720644</v>
      </c>
    </row>
    <row r="132">
      <c r="A132" s="1" t="s">
        <v>149</v>
      </c>
      <c r="B132" s="1">
        <v>1.0</v>
      </c>
      <c r="C132" s="1">
        <v>11193.72852</v>
      </c>
      <c r="D132" s="1">
        <f t="shared" si="4"/>
        <v>12000000</v>
      </c>
      <c r="E132" s="2">
        <f t="shared" si="1"/>
        <v>79.8010006</v>
      </c>
      <c r="F132" s="1">
        <v>20.1989994</v>
      </c>
      <c r="G132" s="4">
        <f t="shared" si="2"/>
        <v>2261.021157</v>
      </c>
      <c r="R132" s="5">
        <v>40.95092717</v>
      </c>
      <c r="S132" s="5">
        <f t="shared" si="5"/>
        <v>41</v>
      </c>
      <c r="T132" s="5">
        <v>37.42696287</v>
      </c>
      <c r="U132" s="5">
        <v>13.53755519</v>
      </c>
      <c r="V132" s="5">
        <v>8.084554762</v>
      </c>
      <c r="W132" s="5"/>
      <c r="X132" s="1">
        <v>33.59362881</v>
      </c>
      <c r="Y132" s="1">
        <v>42.16438068</v>
      </c>
      <c r="Z132" s="1">
        <v>14.11109616</v>
      </c>
      <c r="AA132" s="1">
        <v>10.13089435</v>
      </c>
      <c r="AB132" s="1"/>
      <c r="AC132" s="1">
        <v>70.01770445</v>
      </c>
      <c r="AD132" s="1">
        <v>18.71066092</v>
      </c>
      <c r="AE132" s="1">
        <v>11.27163464</v>
      </c>
      <c r="AF132" s="1">
        <v>0.0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>
        <v>1.0</v>
      </c>
      <c r="AQ132" s="1">
        <v>11193.72852</v>
      </c>
      <c r="AR132" s="1">
        <v>20.1989994</v>
      </c>
      <c r="AS132" s="5">
        <v>40.95092717</v>
      </c>
      <c r="AT132" s="5">
        <v>37.42696287</v>
      </c>
      <c r="AU132" s="5">
        <v>13.53755519</v>
      </c>
      <c r="AV132" s="5">
        <v>8.084554762</v>
      </c>
    </row>
    <row r="133">
      <c r="A133" s="1" t="s">
        <v>150</v>
      </c>
      <c r="B133" s="1">
        <v>3.0</v>
      </c>
      <c r="C133" s="1">
        <v>11326.61621</v>
      </c>
      <c r="D133" s="1">
        <f t="shared" si="4"/>
        <v>12000000</v>
      </c>
      <c r="E133" s="2">
        <f t="shared" si="1"/>
        <v>22.80599976</v>
      </c>
      <c r="F133" s="1">
        <v>77.19400024</v>
      </c>
      <c r="G133" s="4">
        <f t="shared" si="2"/>
        <v>8743.468144</v>
      </c>
      <c r="R133" s="5">
        <v>97.00269616</v>
      </c>
      <c r="S133" s="5">
        <f t="shared" si="5"/>
        <v>97</v>
      </c>
      <c r="T133" s="5">
        <v>1.471384542</v>
      </c>
      <c r="U133" s="5">
        <v>1.252811506</v>
      </c>
      <c r="V133" s="5">
        <v>0.2731077963</v>
      </c>
      <c r="W133" s="5"/>
      <c r="X133" s="1">
        <v>94.38665114</v>
      </c>
      <c r="Y133" s="1">
        <v>2.591752445</v>
      </c>
      <c r="Z133" s="1">
        <v>1.905972935</v>
      </c>
      <c r="AA133" s="1">
        <v>1.115623477</v>
      </c>
      <c r="AB133" s="1"/>
      <c r="AC133" s="1">
        <v>97.77557664</v>
      </c>
      <c r="AD133" s="1">
        <v>1.1403859</v>
      </c>
      <c r="AE133" s="1">
        <v>1.059840374</v>
      </c>
      <c r="AF133" s="1">
        <v>0.02419708411</v>
      </c>
      <c r="AG133" s="1"/>
      <c r="AH133" s="1"/>
      <c r="AI133" s="1"/>
      <c r="AJ133" s="1"/>
      <c r="AK133" s="1"/>
      <c r="AL133" s="1"/>
      <c r="AM133" s="1"/>
      <c r="AN133" s="1"/>
      <c r="AO133" s="1"/>
      <c r="AP133" s="1">
        <v>3.0</v>
      </c>
      <c r="AQ133" s="1">
        <v>11326.61621</v>
      </c>
      <c r="AR133" s="1">
        <v>77.19400024</v>
      </c>
      <c r="AS133" s="5">
        <v>97.00269616</v>
      </c>
      <c r="AT133" s="5">
        <v>1.471384542</v>
      </c>
      <c r="AU133" s="5">
        <v>1.252811506</v>
      </c>
      <c r="AV133" s="5">
        <v>0.2731077963</v>
      </c>
    </row>
    <row r="134">
      <c r="A134" s="1" t="s">
        <v>151</v>
      </c>
      <c r="B134" s="1">
        <v>2.0</v>
      </c>
      <c r="C134" s="1">
        <v>11402.5332</v>
      </c>
      <c r="D134" s="1">
        <f t="shared" si="4"/>
        <v>12000000</v>
      </c>
      <c r="E134" s="2">
        <f t="shared" si="1"/>
        <v>42.91200256</v>
      </c>
      <c r="F134" s="1">
        <v>57.08799744</v>
      </c>
      <c r="G134" s="4">
        <f t="shared" si="2"/>
        <v>6509.477861</v>
      </c>
      <c r="R134" s="5">
        <v>66.6953084</v>
      </c>
      <c r="S134" s="5">
        <f t="shared" si="5"/>
        <v>67</v>
      </c>
      <c r="T134" s="5">
        <v>9.814543652</v>
      </c>
      <c r="U134" s="5">
        <v>23.49014795</v>
      </c>
      <c r="V134" s="5">
        <v>0.0</v>
      </c>
      <c r="W134" s="5"/>
      <c r="X134" s="1">
        <v>42.8457001</v>
      </c>
      <c r="Y134" s="1">
        <v>13.25598695</v>
      </c>
      <c r="Z134" s="1">
        <v>43.89831295</v>
      </c>
      <c r="AA134" s="1">
        <v>0.0</v>
      </c>
      <c r="AB134" s="1"/>
      <c r="AC134" s="1">
        <v>84.62262129</v>
      </c>
      <c r="AD134" s="1">
        <v>7.227673879</v>
      </c>
      <c r="AE134" s="1">
        <v>8.149704835</v>
      </c>
      <c r="AF134" s="1">
        <v>0.0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>
        <v>2.0</v>
      </c>
      <c r="AQ134" s="1">
        <v>11402.5332</v>
      </c>
      <c r="AR134" s="1">
        <v>57.08799744</v>
      </c>
      <c r="AS134" s="5">
        <v>66.6953084</v>
      </c>
      <c r="AT134" s="5">
        <v>9.814543652</v>
      </c>
      <c r="AU134" s="5">
        <v>23.49014795</v>
      </c>
      <c r="AV134" s="5">
        <v>0.0</v>
      </c>
    </row>
    <row r="135">
      <c r="A135" s="1" t="s">
        <v>152</v>
      </c>
      <c r="B135" s="1">
        <v>4.0</v>
      </c>
      <c r="C135" s="1">
        <v>11589.61621</v>
      </c>
      <c r="D135" s="1">
        <f t="shared" si="4"/>
        <v>12000000</v>
      </c>
      <c r="E135" s="2">
        <f t="shared" si="1"/>
        <v>1.92100525</v>
      </c>
      <c r="F135" s="1">
        <v>98.07899475</v>
      </c>
      <c r="G135" s="4">
        <f t="shared" si="2"/>
        <v>11366.97907</v>
      </c>
      <c r="R135" s="5">
        <v>99.99999645</v>
      </c>
      <c r="S135" s="5">
        <f t="shared" si="5"/>
        <v>100</v>
      </c>
      <c r="T135" s="5">
        <v>0.0</v>
      </c>
      <c r="U135" s="5">
        <v>3.554796791E-6</v>
      </c>
      <c r="V135" s="5">
        <v>0.0</v>
      </c>
      <c r="W135" s="5"/>
      <c r="X135" s="1">
        <v>100.0</v>
      </c>
      <c r="Y135" s="1">
        <v>0.0</v>
      </c>
      <c r="Z135" s="1">
        <v>0.0</v>
      </c>
      <c r="AA135" s="1">
        <v>0.0</v>
      </c>
      <c r="AB135" s="1"/>
      <c r="AC135" s="1">
        <v>100.0</v>
      </c>
      <c r="AD135" s="1">
        <v>0.0</v>
      </c>
      <c r="AE135" s="1">
        <v>0.0</v>
      </c>
      <c r="AF135" s="1">
        <v>0.0</v>
      </c>
      <c r="AG135" s="1"/>
      <c r="AH135" s="1"/>
      <c r="AI135" s="1"/>
      <c r="AJ135" s="1"/>
      <c r="AK135" s="1"/>
      <c r="AL135" s="1"/>
      <c r="AM135" s="1"/>
      <c r="AN135" s="1"/>
      <c r="AO135" s="1"/>
      <c r="AP135" s="1">
        <v>4.0</v>
      </c>
      <c r="AQ135" s="1">
        <v>11589.61621</v>
      </c>
      <c r="AR135" s="1">
        <v>98.07899475</v>
      </c>
      <c r="AS135" s="5">
        <v>99.99999645</v>
      </c>
      <c r="AT135" s="5">
        <v>0.0</v>
      </c>
      <c r="AU135" s="5">
        <v>3.554796791E-6</v>
      </c>
      <c r="AV135" s="5">
        <v>0.0</v>
      </c>
    </row>
    <row r="136">
      <c r="A136" s="1" t="s">
        <v>153</v>
      </c>
      <c r="B136" s="1">
        <v>2.0</v>
      </c>
      <c r="C136" s="1">
        <v>11673.0293</v>
      </c>
      <c r="D136" s="1">
        <f t="shared" si="4"/>
        <v>12000000</v>
      </c>
      <c r="E136" s="2">
        <f t="shared" si="1"/>
        <v>29.8769989</v>
      </c>
      <c r="F136" s="1">
        <v>70.1230011</v>
      </c>
      <c r="G136" s="4">
        <f t="shared" si="2"/>
        <v>8185.478464</v>
      </c>
      <c r="R136" s="5">
        <v>93.39007163</v>
      </c>
      <c r="S136" s="5">
        <f t="shared" si="5"/>
        <v>93</v>
      </c>
      <c r="T136" s="5">
        <v>0.1365905296</v>
      </c>
      <c r="U136" s="5">
        <v>1.575010843</v>
      </c>
      <c r="V136" s="5">
        <v>4.898326997</v>
      </c>
      <c r="W136" s="5"/>
      <c r="X136" s="1">
        <v>79.93664283</v>
      </c>
      <c r="Y136" s="1">
        <v>0.2447364082</v>
      </c>
      <c r="Z136" s="1">
        <v>3.954133693</v>
      </c>
      <c r="AA136" s="1">
        <v>15.86448707</v>
      </c>
      <c r="AB136" s="1"/>
      <c r="AC136" s="1">
        <v>99.12211832</v>
      </c>
      <c r="AD136" s="1">
        <v>0.09051328947</v>
      </c>
      <c r="AE136" s="1">
        <v>0.5613453808</v>
      </c>
      <c r="AF136" s="1">
        <v>0.2260230112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>
        <v>2.0</v>
      </c>
      <c r="AQ136" s="1">
        <v>11673.0293</v>
      </c>
      <c r="AR136" s="1">
        <v>70.1230011</v>
      </c>
      <c r="AS136" s="5">
        <v>93.39007163</v>
      </c>
      <c r="AT136" s="5">
        <v>0.1365905296</v>
      </c>
      <c r="AU136" s="5">
        <v>1.575010843</v>
      </c>
      <c r="AV136" s="5">
        <v>4.898326997</v>
      </c>
    </row>
    <row r="137">
      <c r="A137" s="1" t="s">
        <v>154</v>
      </c>
      <c r="B137" s="1">
        <v>2.0</v>
      </c>
      <c r="C137" s="1">
        <v>11818.61816</v>
      </c>
      <c r="D137" s="1">
        <f t="shared" si="4"/>
        <v>12000000</v>
      </c>
      <c r="E137" s="2">
        <f t="shared" si="1"/>
        <v>30.43199921</v>
      </c>
      <c r="F137" s="1">
        <v>69.56800079</v>
      </c>
      <c r="G137" s="4">
        <f t="shared" si="2"/>
        <v>8221.976375</v>
      </c>
      <c r="R137" s="5">
        <v>97.54330899</v>
      </c>
      <c r="S137" s="5">
        <f t="shared" si="5"/>
        <v>98</v>
      </c>
      <c r="T137" s="5">
        <v>1.63135067</v>
      </c>
      <c r="U137" s="5">
        <v>0.8253403378</v>
      </c>
      <c r="V137" s="5">
        <v>0.0</v>
      </c>
      <c r="W137" s="5"/>
      <c r="X137" s="1">
        <v>93.93623193</v>
      </c>
      <c r="Y137" s="1">
        <v>3.351687357</v>
      </c>
      <c r="Z137" s="1">
        <v>2.71208071</v>
      </c>
      <c r="AA137" s="1">
        <v>0.0</v>
      </c>
      <c r="AB137" s="1"/>
      <c r="AC137" s="1">
        <v>99.12119763</v>
      </c>
      <c r="AD137" s="1">
        <v>0.8788023684</v>
      </c>
      <c r="AE137" s="1">
        <v>0.0</v>
      </c>
      <c r="AF137" s="1">
        <v>0.0</v>
      </c>
      <c r="AG137" s="1"/>
      <c r="AH137" s="1"/>
      <c r="AI137" s="1"/>
      <c r="AJ137" s="1"/>
      <c r="AK137" s="1"/>
      <c r="AL137" s="1"/>
      <c r="AM137" s="1"/>
      <c r="AN137" s="1"/>
      <c r="AO137" s="1"/>
      <c r="AP137" s="1">
        <v>2.0</v>
      </c>
      <c r="AQ137" s="1">
        <v>11818.61816</v>
      </c>
      <c r="AR137" s="1">
        <v>69.56800079</v>
      </c>
      <c r="AS137" s="5">
        <v>97.54330899</v>
      </c>
      <c r="AT137" s="5">
        <v>1.63135067</v>
      </c>
      <c r="AU137" s="5">
        <v>0.8253403378</v>
      </c>
      <c r="AV137" s="5">
        <v>0.0</v>
      </c>
    </row>
    <row r="138">
      <c r="A138" s="1" t="s">
        <v>155</v>
      </c>
      <c r="B138" s="1">
        <v>1.0</v>
      </c>
      <c r="C138" s="1">
        <v>11890.78125</v>
      </c>
      <c r="D138" s="1">
        <f t="shared" si="4"/>
        <v>12000000</v>
      </c>
      <c r="E138" s="2">
        <f t="shared" si="1"/>
        <v>86.29199982</v>
      </c>
      <c r="F138" s="1">
        <v>13.70800018</v>
      </c>
      <c r="G138" s="4">
        <f t="shared" si="2"/>
        <v>1629.988315</v>
      </c>
      <c r="R138" s="5">
        <v>62.20712225</v>
      </c>
      <c r="S138" s="5">
        <f t="shared" si="5"/>
        <v>62</v>
      </c>
      <c r="T138" s="5">
        <v>19.43969314</v>
      </c>
      <c r="U138" s="5">
        <v>14.75825969</v>
      </c>
      <c r="V138" s="5">
        <v>3.594924913</v>
      </c>
      <c r="W138" s="5"/>
      <c r="X138" s="1">
        <v>57.68576527</v>
      </c>
      <c r="Y138" s="1">
        <v>21.25148213</v>
      </c>
      <c r="Z138" s="1">
        <v>16.89675238</v>
      </c>
      <c r="AA138" s="1">
        <v>4.166000219</v>
      </c>
      <c r="AB138" s="1"/>
      <c r="AC138" s="1">
        <v>90.66911086</v>
      </c>
      <c r="AD138" s="1">
        <v>8.034462869</v>
      </c>
      <c r="AE138" s="1">
        <v>1.296426269</v>
      </c>
      <c r="AF138" s="1">
        <v>0.0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>
        <v>1.0</v>
      </c>
      <c r="AQ138" s="1">
        <v>11890.78125</v>
      </c>
      <c r="AR138" s="1">
        <v>13.70800018</v>
      </c>
      <c r="AS138" s="5">
        <v>62.20712225</v>
      </c>
      <c r="AT138" s="5">
        <v>19.43969314</v>
      </c>
      <c r="AU138" s="5">
        <v>14.75825969</v>
      </c>
      <c r="AV138" s="5">
        <v>3.594924913</v>
      </c>
    </row>
    <row r="139">
      <c r="A139" s="1" t="s">
        <v>156</v>
      </c>
      <c r="B139" s="1">
        <v>2.0</v>
      </c>
      <c r="C139" s="1">
        <v>12123.19824</v>
      </c>
      <c r="D139" s="1">
        <f t="shared" si="4"/>
        <v>13000000</v>
      </c>
      <c r="E139" s="2">
        <f t="shared" si="1"/>
        <v>51.5850029</v>
      </c>
      <c r="F139" s="1">
        <v>48.4149971</v>
      </c>
      <c r="G139" s="4">
        <f t="shared" si="2"/>
        <v>5869.446076</v>
      </c>
      <c r="R139" s="5">
        <v>65.41412299</v>
      </c>
      <c r="S139" s="5">
        <f t="shared" si="5"/>
        <v>65</v>
      </c>
      <c r="T139" s="5">
        <v>9.317535586</v>
      </c>
      <c r="U139" s="5">
        <v>21.97254088</v>
      </c>
      <c r="V139" s="5">
        <v>3.295800547</v>
      </c>
      <c r="W139" s="5"/>
      <c r="X139" s="1">
        <v>58.05226799</v>
      </c>
      <c r="Y139" s="1">
        <v>12.70520504</v>
      </c>
      <c r="Z139" s="1">
        <v>23.97796833</v>
      </c>
      <c r="AA139" s="1">
        <v>5.264558634</v>
      </c>
      <c r="AB139" s="1"/>
      <c r="AC139" s="1">
        <v>73.25800004</v>
      </c>
      <c r="AD139" s="1">
        <v>5.708056353</v>
      </c>
      <c r="AE139" s="1">
        <v>19.83580681</v>
      </c>
      <c r="AF139" s="1">
        <v>1.198136794</v>
      </c>
      <c r="AG139" s="1"/>
      <c r="AH139" s="1"/>
      <c r="AI139" s="1"/>
      <c r="AJ139" s="1"/>
      <c r="AK139" s="1"/>
      <c r="AL139" s="1"/>
      <c r="AM139" s="1"/>
      <c r="AN139" s="1"/>
      <c r="AO139" s="1"/>
      <c r="AP139" s="1">
        <v>2.0</v>
      </c>
      <c r="AQ139" s="1">
        <v>12123.19824</v>
      </c>
      <c r="AR139" s="1">
        <v>48.4149971</v>
      </c>
      <c r="AS139" s="5">
        <v>65.41412299</v>
      </c>
      <c r="AT139" s="5">
        <v>9.317535586</v>
      </c>
      <c r="AU139" s="5">
        <v>21.97254088</v>
      </c>
      <c r="AV139" s="5">
        <v>3.295800547</v>
      </c>
    </row>
    <row r="140">
      <c r="A140" s="1" t="s">
        <v>157</v>
      </c>
      <c r="B140" s="1">
        <v>1.0</v>
      </c>
      <c r="C140" s="1">
        <v>12952.20898</v>
      </c>
      <c r="D140" s="1">
        <f t="shared" si="4"/>
        <v>13000000</v>
      </c>
      <c r="E140" s="2">
        <f t="shared" si="1"/>
        <v>82.56799889</v>
      </c>
      <c r="F140" s="1">
        <v>17.43200111</v>
      </c>
      <c r="G140" s="4">
        <f t="shared" si="2"/>
        <v>2257.829213</v>
      </c>
      <c r="R140" s="5">
        <v>60.41450115</v>
      </c>
      <c r="S140" s="5">
        <f t="shared" si="5"/>
        <v>60</v>
      </c>
      <c r="T140" s="5">
        <v>22.3207193</v>
      </c>
      <c r="U140" s="5">
        <v>13.15480415</v>
      </c>
      <c r="V140" s="5">
        <v>4.109975401</v>
      </c>
      <c r="W140" s="5"/>
      <c r="X140" s="1">
        <v>55.64246823</v>
      </c>
      <c r="Y140" s="1">
        <v>25.08014133</v>
      </c>
      <c r="Z140" s="1">
        <v>14.77886772</v>
      </c>
      <c r="AA140" s="1">
        <v>4.498522714</v>
      </c>
      <c r="AB140" s="1"/>
      <c r="AC140" s="1">
        <v>83.0175993</v>
      </c>
      <c r="AD140" s="1">
        <v>9.250506251</v>
      </c>
      <c r="AE140" s="1">
        <v>5.462303057</v>
      </c>
      <c r="AF140" s="1">
        <v>2.269591394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>
        <v>1.0</v>
      </c>
      <c r="AQ140" s="1">
        <v>12952.20898</v>
      </c>
      <c r="AR140" s="1">
        <v>17.43200111</v>
      </c>
      <c r="AS140" s="5">
        <v>60.41450115</v>
      </c>
      <c r="AT140" s="5">
        <v>22.3207193</v>
      </c>
      <c r="AU140" s="5">
        <v>13.15480415</v>
      </c>
      <c r="AV140" s="5">
        <v>4.109975401</v>
      </c>
    </row>
    <row r="141">
      <c r="A141" s="1" t="s">
        <v>158</v>
      </c>
      <c r="B141" s="1">
        <v>1.0</v>
      </c>
      <c r="C141" s="1">
        <v>13132.79199</v>
      </c>
      <c r="D141" s="1">
        <f t="shared" si="4"/>
        <v>14000000</v>
      </c>
      <c r="E141" s="2">
        <f t="shared" si="1"/>
        <v>63.125</v>
      </c>
      <c r="F141" s="1">
        <v>36.875</v>
      </c>
      <c r="G141" s="4">
        <f t="shared" si="2"/>
        <v>4842.717046</v>
      </c>
      <c r="R141" s="5">
        <v>63.96178874</v>
      </c>
      <c r="S141" s="5">
        <f t="shared" si="5"/>
        <v>64</v>
      </c>
      <c r="T141" s="5">
        <v>21.2815915</v>
      </c>
      <c r="U141" s="5">
        <v>6.296119406</v>
      </c>
      <c r="V141" s="5">
        <v>8.460500354</v>
      </c>
      <c r="W141" s="5"/>
      <c r="X141" s="1">
        <v>50.74817899</v>
      </c>
      <c r="Y141" s="1">
        <v>26.14432944</v>
      </c>
      <c r="Z141" s="1">
        <v>9.704719143</v>
      </c>
      <c r="AA141" s="1">
        <v>13.40277243</v>
      </c>
      <c r="AB141" s="1"/>
      <c r="AC141" s="1">
        <v>86.58169007</v>
      </c>
      <c r="AD141" s="1">
        <v>12.95724153</v>
      </c>
      <c r="AE141" s="1">
        <v>0.461068398</v>
      </c>
      <c r="AF141" s="1">
        <v>0.0</v>
      </c>
      <c r="AG141" s="1"/>
      <c r="AH141" s="1"/>
      <c r="AI141" s="1"/>
      <c r="AJ141" s="1"/>
      <c r="AK141" s="1"/>
      <c r="AL141" s="1"/>
      <c r="AM141" s="1"/>
      <c r="AN141" s="1"/>
      <c r="AO141" s="1"/>
      <c r="AP141" s="1">
        <v>1.0</v>
      </c>
      <c r="AQ141" s="1">
        <v>13132.79199</v>
      </c>
      <c r="AR141" s="1">
        <v>36.875</v>
      </c>
      <c r="AS141" s="5">
        <v>63.96178874</v>
      </c>
      <c r="AT141" s="5">
        <v>21.2815915</v>
      </c>
      <c r="AU141" s="5">
        <v>6.296119406</v>
      </c>
      <c r="AV141" s="5">
        <v>8.460500354</v>
      </c>
    </row>
    <row r="142">
      <c r="A142" s="1" t="s">
        <v>159</v>
      </c>
      <c r="B142" s="1">
        <v>2.0</v>
      </c>
      <c r="C142" s="1">
        <v>14862.92676</v>
      </c>
      <c r="D142" s="1">
        <f t="shared" si="4"/>
        <v>15000000</v>
      </c>
      <c r="E142" s="2">
        <f t="shared" si="1"/>
        <v>67.75799942</v>
      </c>
      <c r="F142" s="1">
        <v>32.24200058</v>
      </c>
      <c r="G142" s="4">
        <f t="shared" si="2"/>
        <v>4792.104932</v>
      </c>
      <c r="R142" s="5">
        <v>62.66645761</v>
      </c>
      <c r="S142" s="5">
        <f t="shared" si="5"/>
        <v>63</v>
      </c>
      <c r="T142" s="5">
        <v>14.1975397</v>
      </c>
      <c r="U142" s="5">
        <v>16.27785545</v>
      </c>
      <c r="V142" s="5">
        <v>6.858147242</v>
      </c>
      <c r="W142" s="5"/>
      <c r="X142" s="1">
        <v>48.28242885</v>
      </c>
      <c r="Y142" s="1">
        <v>18.59098467</v>
      </c>
      <c r="Z142" s="1">
        <v>23.01364655</v>
      </c>
      <c r="AA142" s="1">
        <v>10.11293992</v>
      </c>
      <c r="AB142" s="1"/>
      <c r="AC142" s="1">
        <v>92.89512895</v>
      </c>
      <c r="AD142" s="1">
        <v>4.964517757</v>
      </c>
      <c r="AE142" s="1">
        <v>2.122298674</v>
      </c>
      <c r="AF142" s="1">
        <v>0.01805461538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>
        <v>2.0</v>
      </c>
      <c r="AQ142" s="1">
        <v>14862.92676</v>
      </c>
      <c r="AR142" s="1">
        <v>32.24200058</v>
      </c>
      <c r="AS142" s="5">
        <v>62.66645761</v>
      </c>
      <c r="AT142" s="5">
        <v>14.1975397</v>
      </c>
      <c r="AU142" s="5">
        <v>16.27785545</v>
      </c>
      <c r="AV142" s="5">
        <v>6.858147242</v>
      </c>
    </row>
    <row r="143">
      <c r="A143" s="1" t="s">
        <v>160</v>
      </c>
      <c r="B143" s="1">
        <v>1.0</v>
      </c>
      <c r="C143" s="1">
        <v>15893.21875</v>
      </c>
      <c r="D143" s="1">
        <f t="shared" si="4"/>
        <v>16000000</v>
      </c>
      <c r="E143" s="2">
        <f t="shared" si="1"/>
        <v>53.85900116</v>
      </c>
      <c r="F143" s="1">
        <v>46.14099884</v>
      </c>
      <c r="G143" s="4">
        <f t="shared" si="2"/>
        <v>7333.289879</v>
      </c>
      <c r="R143" s="5">
        <v>56.47697339</v>
      </c>
      <c r="S143" s="5">
        <f t="shared" si="5"/>
        <v>56</v>
      </c>
      <c r="T143" s="5">
        <v>27.70419956</v>
      </c>
      <c r="U143" s="5">
        <v>13.41704303</v>
      </c>
      <c r="V143" s="5">
        <v>2.401784021</v>
      </c>
      <c r="W143" s="5"/>
      <c r="X143" s="1">
        <v>37.07586282</v>
      </c>
      <c r="Y143" s="1">
        <v>36.64324958</v>
      </c>
      <c r="Z143" s="1">
        <v>21.82149546</v>
      </c>
      <c r="AA143" s="1">
        <v>4.459392143</v>
      </c>
      <c r="AB143" s="1"/>
      <c r="AC143" s="1">
        <v>79.12330574</v>
      </c>
      <c r="AD143" s="1">
        <v>17.26991556</v>
      </c>
      <c r="AE143" s="1">
        <v>3.606778703</v>
      </c>
      <c r="AF143" s="1">
        <v>0.0</v>
      </c>
      <c r="AG143" s="1"/>
      <c r="AH143" s="1"/>
      <c r="AI143" s="1"/>
      <c r="AJ143" s="1"/>
      <c r="AK143" s="1"/>
      <c r="AL143" s="1"/>
      <c r="AM143" s="1"/>
      <c r="AN143" s="1"/>
      <c r="AO143" s="1"/>
      <c r="AP143" s="1">
        <v>1.0</v>
      </c>
      <c r="AQ143" s="1">
        <v>15893.21875</v>
      </c>
      <c r="AR143" s="1">
        <v>46.14099884</v>
      </c>
      <c r="AS143" s="5">
        <v>56.47697339</v>
      </c>
      <c r="AT143" s="5">
        <v>27.70419956</v>
      </c>
      <c r="AU143" s="5">
        <v>13.41704303</v>
      </c>
      <c r="AV143" s="5">
        <v>2.401784021</v>
      </c>
    </row>
    <row r="144">
      <c r="A144" s="1" t="s">
        <v>161</v>
      </c>
      <c r="B144" s="1">
        <v>1.0</v>
      </c>
      <c r="C144" s="1">
        <v>16425.85938</v>
      </c>
      <c r="D144" s="1">
        <f t="shared" si="4"/>
        <v>17000000</v>
      </c>
      <c r="E144" s="2">
        <f t="shared" si="1"/>
        <v>76.47999954</v>
      </c>
      <c r="F144" s="1">
        <v>23.52000046</v>
      </c>
      <c r="G144" s="4">
        <f t="shared" si="2"/>
        <v>3863.362202</v>
      </c>
      <c r="R144" s="5">
        <v>46.18753479</v>
      </c>
      <c r="S144" s="5">
        <f t="shared" si="5"/>
        <v>46</v>
      </c>
      <c r="T144" s="5">
        <v>14.74028929</v>
      </c>
      <c r="U144" s="5">
        <v>31.56245714</v>
      </c>
      <c r="V144" s="5">
        <v>7.509718784</v>
      </c>
      <c r="W144" s="5"/>
      <c r="X144" s="1">
        <v>37.57521525</v>
      </c>
      <c r="Y144" s="1">
        <v>14.35396111</v>
      </c>
      <c r="Z144" s="1">
        <v>38.52496761</v>
      </c>
      <c r="AA144" s="1">
        <v>9.545856027</v>
      </c>
      <c r="AB144" s="1"/>
      <c r="AC144" s="1">
        <v>74.19222309</v>
      </c>
      <c r="AD144" s="1">
        <v>15.99651381</v>
      </c>
      <c r="AE144" s="1">
        <v>8.922452721</v>
      </c>
      <c r="AF144" s="1">
        <v>0.8888103843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>
        <v>1.0</v>
      </c>
      <c r="AQ144" s="1">
        <v>16425.85938</v>
      </c>
      <c r="AR144" s="1">
        <v>23.52000046</v>
      </c>
      <c r="AS144" s="5">
        <v>46.18753479</v>
      </c>
      <c r="AT144" s="5">
        <v>14.74028929</v>
      </c>
      <c r="AU144" s="5">
        <v>31.56245714</v>
      </c>
      <c r="AV144" s="5">
        <v>7.509718784</v>
      </c>
    </row>
    <row r="145">
      <c r="A145" s="1" t="s">
        <v>162</v>
      </c>
      <c r="B145" s="1">
        <v>2.0</v>
      </c>
      <c r="C145" s="1">
        <v>16718.9707</v>
      </c>
      <c r="D145" s="1">
        <f t="shared" si="4"/>
        <v>17000000</v>
      </c>
      <c r="E145" s="2">
        <f t="shared" si="1"/>
        <v>75.76799965</v>
      </c>
      <c r="F145" s="1">
        <v>24.23200035</v>
      </c>
      <c r="G145" s="4">
        <f t="shared" si="2"/>
        <v>4051.341039</v>
      </c>
      <c r="R145" s="5">
        <v>71.21988497</v>
      </c>
      <c r="S145" s="5">
        <f t="shared" si="5"/>
        <v>71</v>
      </c>
      <c r="T145" s="5">
        <v>13.90222204</v>
      </c>
      <c r="U145" s="5">
        <v>5.677218558</v>
      </c>
      <c r="V145" s="5">
        <v>9.200674434</v>
      </c>
      <c r="W145" s="5"/>
      <c r="X145" s="1">
        <v>65.06715583</v>
      </c>
      <c r="Y145" s="1">
        <v>15.51772278</v>
      </c>
      <c r="Z145" s="1">
        <v>7.492899307</v>
      </c>
      <c r="AA145" s="1">
        <v>11.92222209</v>
      </c>
      <c r="AB145" s="1"/>
      <c r="AC145" s="1">
        <v>90.45807717</v>
      </c>
      <c r="AD145" s="1">
        <v>8.85091472</v>
      </c>
      <c r="AE145" s="1">
        <v>0.0</v>
      </c>
      <c r="AF145" s="1">
        <v>0.6910081144</v>
      </c>
      <c r="AG145" s="1"/>
      <c r="AH145" s="1"/>
      <c r="AI145" s="1"/>
      <c r="AJ145" s="1"/>
      <c r="AK145" s="1"/>
      <c r="AL145" s="1"/>
      <c r="AM145" s="1"/>
      <c r="AN145" s="1"/>
      <c r="AO145" s="1"/>
      <c r="AP145" s="1">
        <v>2.0</v>
      </c>
      <c r="AQ145" s="1">
        <v>16718.9707</v>
      </c>
      <c r="AR145" s="1">
        <v>24.23200035</v>
      </c>
      <c r="AS145" s="5">
        <v>71.21988497</v>
      </c>
      <c r="AT145" s="5">
        <v>13.90222204</v>
      </c>
      <c r="AU145" s="5">
        <v>5.677218558</v>
      </c>
      <c r="AV145" s="5">
        <v>9.200674434</v>
      </c>
    </row>
    <row r="146">
      <c r="A146" s="1" t="s">
        <v>163</v>
      </c>
      <c r="B146" s="1">
        <v>2.0</v>
      </c>
      <c r="C146" s="1">
        <v>16743.92969</v>
      </c>
      <c r="D146" s="1">
        <f t="shared" si="4"/>
        <v>17000000</v>
      </c>
      <c r="E146" s="2">
        <f t="shared" si="1"/>
        <v>51.87799835</v>
      </c>
      <c r="F146" s="1">
        <v>48.12200165</v>
      </c>
      <c r="G146" s="4">
        <f t="shared" si="2"/>
        <v>8057.514122</v>
      </c>
      <c r="R146" s="5">
        <v>84.90523779</v>
      </c>
      <c r="S146" s="5">
        <f t="shared" si="5"/>
        <v>85</v>
      </c>
      <c r="T146" s="5">
        <v>2.387217509</v>
      </c>
      <c r="U146" s="5">
        <v>12.60781566</v>
      </c>
      <c r="V146" s="5">
        <v>0.09972904042</v>
      </c>
      <c r="W146" s="5"/>
      <c r="X146" s="1">
        <v>75.2429282</v>
      </c>
      <c r="Y146" s="1">
        <v>4.052382433</v>
      </c>
      <c r="Z146" s="1">
        <v>20.51245174</v>
      </c>
      <c r="AA146" s="1">
        <v>0.1922376314</v>
      </c>
      <c r="AB146" s="1"/>
      <c r="AC146" s="1">
        <v>95.32170094</v>
      </c>
      <c r="AD146" s="1">
        <v>0.5920836567</v>
      </c>
      <c r="AE146" s="1">
        <v>4.086215402</v>
      </c>
      <c r="AF146" s="1">
        <v>0.0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>
        <v>2.0</v>
      </c>
      <c r="AQ146" s="1">
        <v>16743.92969</v>
      </c>
      <c r="AR146" s="1">
        <v>48.12200165</v>
      </c>
      <c r="AS146" s="5">
        <v>84.90523779</v>
      </c>
      <c r="AT146" s="5">
        <v>2.387217509</v>
      </c>
      <c r="AU146" s="5">
        <v>12.60781566</v>
      </c>
      <c r="AV146" s="5">
        <v>0.09972904042</v>
      </c>
    </row>
    <row r="147">
      <c r="A147" s="1" t="s">
        <v>164</v>
      </c>
      <c r="B147" s="1">
        <v>4.0</v>
      </c>
      <c r="C147" s="1">
        <v>17134.87305</v>
      </c>
      <c r="D147" s="1">
        <f t="shared" si="4"/>
        <v>18000000</v>
      </c>
      <c r="E147" s="2">
        <f t="shared" si="1"/>
        <v>7.76399994</v>
      </c>
      <c r="F147" s="1">
        <v>92.23600006</v>
      </c>
      <c r="G147" s="4">
        <f t="shared" si="2"/>
        <v>15804.52152</v>
      </c>
      <c r="R147" s="5">
        <v>99.99999929</v>
      </c>
      <c r="S147" s="5">
        <f t="shared" si="5"/>
        <v>100</v>
      </c>
      <c r="T147" s="5">
        <v>0.0</v>
      </c>
      <c r="U147" s="5">
        <v>7.12408621E-7</v>
      </c>
      <c r="V147" s="5">
        <v>0.0</v>
      </c>
      <c r="W147" s="5"/>
      <c r="X147" s="1">
        <v>100.0</v>
      </c>
      <c r="Y147" s="1">
        <v>0.0</v>
      </c>
      <c r="Z147" s="1">
        <v>0.0</v>
      </c>
      <c r="AA147" s="1">
        <v>0.0</v>
      </c>
      <c r="AB147" s="1"/>
      <c r="AC147" s="1">
        <v>100.0</v>
      </c>
      <c r="AD147" s="1">
        <v>0.0</v>
      </c>
      <c r="AE147" s="1">
        <v>0.0</v>
      </c>
      <c r="AF147" s="1">
        <v>0.0</v>
      </c>
      <c r="AG147" s="1"/>
      <c r="AH147" s="1"/>
      <c r="AI147" s="1"/>
      <c r="AJ147" s="1"/>
      <c r="AK147" s="1"/>
      <c r="AL147" s="1"/>
      <c r="AM147" s="1"/>
      <c r="AN147" s="1"/>
      <c r="AO147" s="1"/>
      <c r="AP147" s="1">
        <v>4.0</v>
      </c>
      <c r="AQ147" s="1">
        <v>17134.87305</v>
      </c>
      <c r="AR147" s="1">
        <v>92.23600006</v>
      </c>
      <c r="AS147" s="5">
        <v>99.99999929</v>
      </c>
      <c r="AT147" s="5">
        <v>0.0</v>
      </c>
      <c r="AU147" s="5">
        <v>7.12408621E-7</v>
      </c>
      <c r="AV147" s="5">
        <v>0.0</v>
      </c>
    </row>
    <row r="148">
      <c r="A148" s="1" t="s">
        <v>165</v>
      </c>
      <c r="B148" s="1">
        <v>1.0</v>
      </c>
      <c r="C148" s="1">
        <v>17500.65625</v>
      </c>
      <c r="D148" s="1">
        <f t="shared" si="4"/>
        <v>18000000</v>
      </c>
      <c r="E148" s="2">
        <f t="shared" si="1"/>
        <v>44.52499771</v>
      </c>
      <c r="F148" s="1">
        <v>55.47500229</v>
      </c>
      <c r="G148" s="4">
        <f t="shared" si="2"/>
        <v>9708.489455</v>
      </c>
      <c r="R148" s="5">
        <v>93.92585718</v>
      </c>
      <c r="S148" s="5">
        <f t="shared" si="5"/>
        <v>94</v>
      </c>
      <c r="T148" s="5">
        <v>5.873730768</v>
      </c>
      <c r="U148" s="5">
        <v>0.2004120542</v>
      </c>
      <c r="V148" s="5">
        <v>0.0</v>
      </c>
      <c r="W148" s="5"/>
      <c r="X148" s="1">
        <v>92.082745</v>
      </c>
      <c r="Y148" s="1">
        <v>7.917255</v>
      </c>
      <c r="Z148" s="1">
        <v>0.0</v>
      </c>
      <c r="AA148" s="1">
        <v>0.0</v>
      </c>
      <c r="AB148" s="1"/>
      <c r="AC148" s="1">
        <v>95.40516436</v>
      </c>
      <c r="AD148" s="1">
        <v>4.233570117</v>
      </c>
      <c r="AE148" s="1">
        <v>0.361265525</v>
      </c>
      <c r="AF148" s="1">
        <v>0.0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>
        <v>1.0</v>
      </c>
      <c r="AQ148" s="1">
        <v>17500.65625</v>
      </c>
      <c r="AR148" s="1">
        <v>55.47500229</v>
      </c>
      <c r="AS148" s="5">
        <v>93.92585718</v>
      </c>
      <c r="AT148" s="5">
        <v>5.873730768</v>
      </c>
      <c r="AU148" s="5">
        <v>0.2004120542</v>
      </c>
      <c r="AV148" s="5">
        <v>0.0</v>
      </c>
    </row>
    <row r="149">
      <c r="A149" s="1" t="s">
        <v>166</v>
      </c>
      <c r="B149" s="1">
        <v>3.0</v>
      </c>
      <c r="C149" s="1">
        <v>17643.06055</v>
      </c>
      <c r="D149" s="1">
        <f t="shared" si="4"/>
        <v>18000000</v>
      </c>
      <c r="E149" s="2">
        <f t="shared" si="1"/>
        <v>35.83399963</v>
      </c>
      <c r="F149" s="1">
        <v>64.16600037</v>
      </c>
      <c r="G149" s="4">
        <f t="shared" si="2"/>
        <v>11320.8463</v>
      </c>
      <c r="R149" s="5">
        <v>95.35976356</v>
      </c>
      <c r="S149" s="5">
        <f t="shared" si="5"/>
        <v>95</v>
      </c>
      <c r="T149" s="5">
        <v>0.003451463449</v>
      </c>
      <c r="U149" s="5">
        <v>2.604485389</v>
      </c>
      <c r="V149" s="5">
        <v>2.032299589</v>
      </c>
      <c r="W149" s="5"/>
      <c r="X149" s="1">
        <v>87.05074495</v>
      </c>
      <c r="Y149" s="1">
        <v>0.009631811022</v>
      </c>
      <c r="Z149" s="1">
        <v>7.26819549</v>
      </c>
      <c r="AA149" s="1">
        <v>5.671427747</v>
      </c>
      <c r="AB149" s="1"/>
      <c r="AC149" s="1">
        <v>100.0</v>
      </c>
      <c r="AD149" s="1">
        <v>0.0</v>
      </c>
      <c r="AE149" s="1">
        <v>0.0</v>
      </c>
      <c r="AF149" s="1">
        <v>0.0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>
        <v>3.0</v>
      </c>
      <c r="AQ149" s="1">
        <v>17643.06055</v>
      </c>
      <c r="AR149" s="1">
        <v>64.16600037</v>
      </c>
      <c r="AS149" s="5">
        <v>95.35976356</v>
      </c>
      <c r="AT149" s="5">
        <v>0.003451463449</v>
      </c>
      <c r="AU149" s="5">
        <v>2.604485389</v>
      </c>
      <c r="AV149" s="5">
        <v>2.032299589</v>
      </c>
    </row>
    <row r="150">
      <c r="A150" s="1" t="s">
        <v>167</v>
      </c>
      <c r="B150" s="1">
        <v>3.0</v>
      </c>
      <c r="C150" s="1">
        <v>17915.56641</v>
      </c>
      <c r="D150" s="1">
        <f t="shared" si="4"/>
        <v>18000000</v>
      </c>
      <c r="E150" s="2">
        <f t="shared" si="1"/>
        <v>48.16400146</v>
      </c>
      <c r="F150" s="1">
        <v>51.83599854</v>
      </c>
      <c r="G150" s="4">
        <f t="shared" si="2"/>
        <v>9286.712743</v>
      </c>
      <c r="R150" s="5">
        <v>94.00642827</v>
      </c>
      <c r="S150" s="5">
        <f t="shared" si="5"/>
        <v>94</v>
      </c>
      <c r="T150" s="5">
        <v>1.034150511</v>
      </c>
      <c r="U150" s="5">
        <v>3.215911815</v>
      </c>
      <c r="V150" s="5">
        <v>1.743509404</v>
      </c>
      <c r="W150" s="5"/>
      <c r="X150" s="1">
        <v>90.1193298</v>
      </c>
      <c r="Y150" s="1">
        <v>1.849169999</v>
      </c>
      <c r="Z150" s="1">
        <v>4.583438691</v>
      </c>
      <c r="AA150" s="1">
        <v>3.448061508</v>
      </c>
      <c r="AB150" s="1"/>
      <c r="AC150" s="1">
        <v>97.61816944</v>
      </c>
      <c r="AD150" s="1">
        <v>0.2768660057</v>
      </c>
      <c r="AE150" s="1">
        <v>1.94525887</v>
      </c>
      <c r="AF150" s="1">
        <v>0.1597056849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>
        <v>3.0</v>
      </c>
      <c r="AQ150" s="1">
        <v>17915.56641</v>
      </c>
      <c r="AR150" s="1">
        <v>51.83599854</v>
      </c>
      <c r="AS150" s="5">
        <v>94.00642827</v>
      </c>
      <c r="AT150" s="5">
        <v>1.034150511</v>
      </c>
      <c r="AU150" s="5">
        <v>3.215911815</v>
      </c>
      <c r="AV150" s="5">
        <v>1.743509404</v>
      </c>
    </row>
    <row r="151">
      <c r="A151" s="1" t="s">
        <v>168</v>
      </c>
      <c r="B151" s="1">
        <v>1.0</v>
      </c>
      <c r="C151" s="1">
        <v>18383.95508</v>
      </c>
      <c r="D151" s="1">
        <f t="shared" si="4"/>
        <v>19000000</v>
      </c>
      <c r="E151" s="2">
        <f t="shared" si="1"/>
        <v>55.3710022</v>
      </c>
      <c r="F151" s="1">
        <v>44.6289978</v>
      </c>
      <c r="G151" s="4">
        <f t="shared" si="2"/>
        <v>8204.574908</v>
      </c>
      <c r="R151" s="5">
        <v>65.41238357</v>
      </c>
      <c r="S151" s="5">
        <f t="shared" si="5"/>
        <v>65</v>
      </c>
      <c r="T151" s="5">
        <v>6.15393902</v>
      </c>
      <c r="U151" s="5">
        <v>21.57684071</v>
      </c>
      <c r="V151" s="5">
        <v>6.856836706</v>
      </c>
      <c r="W151" s="5"/>
      <c r="X151" s="1">
        <v>48.22728833</v>
      </c>
      <c r="Y151" s="1">
        <v>8.331703613</v>
      </c>
      <c r="Z151" s="1">
        <v>31.60865444</v>
      </c>
      <c r="AA151" s="1">
        <v>11.83235362</v>
      </c>
      <c r="AB151" s="1"/>
      <c r="AC151" s="1">
        <v>86.73385466</v>
      </c>
      <c r="AD151" s="1">
        <v>3.451996194</v>
      </c>
      <c r="AE151" s="1">
        <v>9.130414105</v>
      </c>
      <c r="AF151" s="1">
        <v>0.6837350463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>
        <v>1.0</v>
      </c>
      <c r="AQ151" s="1">
        <v>18383.95508</v>
      </c>
      <c r="AR151" s="1">
        <v>44.6289978</v>
      </c>
      <c r="AS151" s="5">
        <v>65.41238357</v>
      </c>
      <c r="AT151" s="5">
        <v>6.15393902</v>
      </c>
      <c r="AU151" s="5">
        <v>21.57684071</v>
      </c>
      <c r="AV151" s="5">
        <v>6.856836706</v>
      </c>
    </row>
    <row r="152">
      <c r="A152" s="1" t="s">
        <v>169</v>
      </c>
      <c r="B152" s="1">
        <v>3.0</v>
      </c>
      <c r="C152" s="1">
        <v>18776.70703</v>
      </c>
      <c r="D152" s="1">
        <f t="shared" si="4"/>
        <v>19000000</v>
      </c>
      <c r="E152" s="2">
        <f t="shared" si="1"/>
        <v>42.32899857</v>
      </c>
      <c r="F152" s="1">
        <v>57.67100143</v>
      </c>
      <c r="G152" s="4">
        <f t="shared" si="2"/>
        <v>10828.71498</v>
      </c>
      <c r="R152" s="5">
        <v>95.43497032</v>
      </c>
      <c r="S152" s="5">
        <f t="shared" si="5"/>
        <v>95</v>
      </c>
      <c r="T152" s="5">
        <v>1.941425039</v>
      </c>
      <c r="U152" s="5">
        <v>2.545956934</v>
      </c>
      <c r="V152" s="5">
        <v>0.07764770471</v>
      </c>
      <c r="W152" s="5"/>
      <c r="X152" s="1">
        <v>91.93925234</v>
      </c>
      <c r="Y152" s="1">
        <v>1.862616064</v>
      </c>
      <c r="Z152" s="1">
        <v>6.014693049</v>
      </c>
      <c r="AA152" s="1">
        <v>0.1834385438</v>
      </c>
      <c r="AB152" s="1"/>
      <c r="AC152" s="1">
        <v>98.00073133</v>
      </c>
      <c r="AD152" s="1">
        <v>1.999268673</v>
      </c>
      <c r="AE152" s="1">
        <v>0.0</v>
      </c>
      <c r="AF152" s="1">
        <v>0.0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>
        <v>3.0</v>
      </c>
      <c r="AQ152" s="1">
        <v>18776.70703</v>
      </c>
      <c r="AR152" s="1">
        <v>57.67100143</v>
      </c>
      <c r="AS152" s="5">
        <v>95.43497032</v>
      </c>
      <c r="AT152" s="5">
        <v>1.941425039</v>
      </c>
      <c r="AU152" s="5">
        <v>2.545956934</v>
      </c>
      <c r="AV152" s="5">
        <v>0.07764770471</v>
      </c>
    </row>
    <row r="153">
      <c r="A153" s="1" t="s">
        <v>170</v>
      </c>
      <c r="B153" s="1">
        <v>4.0</v>
      </c>
      <c r="C153" s="1">
        <v>19116.20898</v>
      </c>
      <c r="D153" s="1">
        <f t="shared" si="4"/>
        <v>20000000</v>
      </c>
      <c r="E153" s="2">
        <f t="shared" si="1"/>
        <v>12.27300262</v>
      </c>
      <c r="F153" s="1">
        <v>87.72699738</v>
      </c>
      <c r="G153" s="4">
        <f t="shared" si="2"/>
        <v>16770.07615</v>
      </c>
      <c r="R153" s="5">
        <v>99.99999872</v>
      </c>
      <c r="S153" s="5">
        <f t="shared" si="5"/>
        <v>100</v>
      </c>
      <c r="T153" s="5">
        <v>0.0</v>
      </c>
      <c r="U153" s="5">
        <v>1.277139333E-6</v>
      </c>
      <c r="V153" s="5">
        <v>0.0</v>
      </c>
      <c r="W153" s="5"/>
      <c r="X153" s="1">
        <v>100.0</v>
      </c>
      <c r="Y153" s="1">
        <v>0.0</v>
      </c>
      <c r="Z153" s="1">
        <v>0.0</v>
      </c>
      <c r="AA153" s="1">
        <v>0.0</v>
      </c>
      <c r="AB153" s="1"/>
      <c r="AC153" s="1">
        <v>100.0</v>
      </c>
      <c r="AD153" s="1">
        <v>0.0</v>
      </c>
      <c r="AE153" s="1">
        <v>0.0</v>
      </c>
      <c r="AF153" s="1">
        <v>0.0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>
        <v>4.0</v>
      </c>
      <c r="AQ153" s="1">
        <v>19116.20898</v>
      </c>
      <c r="AR153" s="1">
        <v>87.72699738</v>
      </c>
      <c r="AS153" s="5">
        <v>99.99999872</v>
      </c>
      <c r="AT153" s="5">
        <v>0.0</v>
      </c>
      <c r="AU153" s="5">
        <v>1.277139333E-6</v>
      </c>
      <c r="AV153" s="5">
        <v>0.0</v>
      </c>
    </row>
    <row r="154">
      <c r="A154" s="1" t="s">
        <v>171</v>
      </c>
      <c r="B154" s="1">
        <v>1.0</v>
      </c>
      <c r="C154" s="1">
        <v>19129.95508</v>
      </c>
      <c r="D154" s="1">
        <f t="shared" si="4"/>
        <v>20000000</v>
      </c>
      <c r="E154" s="2">
        <f t="shared" si="1"/>
        <v>82.57299995</v>
      </c>
      <c r="F154" s="1">
        <v>17.42700005</v>
      </c>
      <c r="G154" s="4">
        <f t="shared" si="2"/>
        <v>3333.777281</v>
      </c>
      <c r="R154" s="5">
        <v>70.04772851</v>
      </c>
      <c r="S154" s="5">
        <f t="shared" si="5"/>
        <v>70</v>
      </c>
      <c r="T154" s="5">
        <v>21.95081497</v>
      </c>
      <c r="U154" s="5">
        <v>5.776304407</v>
      </c>
      <c r="V154" s="5">
        <v>2.22515211</v>
      </c>
      <c r="W154" s="5"/>
      <c r="X154" s="1">
        <v>66.58504376</v>
      </c>
      <c r="Y154" s="1">
        <v>24.41415803</v>
      </c>
      <c r="Z154" s="1">
        <v>6.383874146</v>
      </c>
      <c r="AA154" s="1">
        <v>2.616924066</v>
      </c>
      <c r="AB154" s="1"/>
      <c r="AC154" s="1">
        <v>86.45469821</v>
      </c>
      <c r="AD154" s="1">
        <v>10.27894825</v>
      </c>
      <c r="AE154" s="1">
        <v>2.897503996</v>
      </c>
      <c r="AF154" s="1">
        <v>0.3688495446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>
        <v>1.0</v>
      </c>
      <c r="AQ154" s="1">
        <v>19129.95508</v>
      </c>
      <c r="AR154" s="1">
        <v>17.42700005</v>
      </c>
      <c r="AS154" s="5">
        <v>70.04772851</v>
      </c>
      <c r="AT154" s="5">
        <v>21.95081497</v>
      </c>
      <c r="AU154" s="5">
        <v>5.776304407</v>
      </c>
      <c r="AV154" s="5">
        <v>2.22515211</v>
      </c>
    </row>
    <row r="155">
      <c r="A155" s="1" t="s">
        <v>172</v>
      </c>
      <c r="B155" s="1">
        <v>4.0</v>
      </c>
      <c r="C155" s="1">
        <v>19237.68164</v>
      </c>
      <c r="D155" s="1">
        <f t="shared" si="4"/>
        <v>20000000</v>
      </c>
      <c r="E155" s="2">
        <f t="shared" si="1"/>
        <v>45.80599976</v>
      </c>
      <c r="F155" s="1">
        <v>54.19400024</v>
      </c>
      <c r="G155" s="4">
        <f t="shared" si="2"/>
        <v>10425.66923</v>
      </c>
      <c r="R155" s="5">
        <v>100.0</v>
      </c>
      <c r="S155" s="5">
        <f t="shared" si="5"/>
        <v>100</v>
      </c>
      <c r="T155" s="5">
        <v>0.0</v>
      </c>
      <c r="U155" s="5">
        <v>0.0</v>
      </c>
      <c r="V155" s="5">
        <v>0.0</v>
      </c>
      <c r="W155" s="5"/>
      <c r="X155" s="1">
        <v>100.0</v>
      </c>
      <c r="Y155" s="1">
        <v>0.0</v>
      </c>
      <c r="Z155" s="1">
        <v>0.0</v>
      </c>
      <c r="AA155" s="1">
        <v>0.0</v>
      </c>
      <c r="AB155" s="1"/>
      <c r="AC155" s="1">
        <v>100.0</v>
      </c>
      <c r="AD155" s="1">
        <v>0.0</v>
      </c>
      <c r="AE155" s="1">
        <v>0.0</v>
      </c>
      <c r="AF155" s="1">
        <v>0.0</v>
      </c>
      <c r="AG155" s="1"/>
      <c r="AH155" s="1"/>
      <c r="AI155" s="1"/>
      <c r="AJ155" s="1"/>
      <c r="AK155" s="1"/>
      <c r="AL155" s="1"/>
      <c r="AM155" s="1"/>
      <c r="AN155" s="1"/>
      <c r="AO155" s="1"/>
      <c r="AP155" s="1">
        <v>4.0</v>
      </c>
      <c r="AQ155" s="1">
        <v>19237.68164</v>
      </c>
      <c r="AR155" s="1">
        <v>54.19400024</v>
      </c>
      <c r="AS155" s="5">
        <v>100.0</v>
      </c>
      <c r="AT155" s="5">
        <v>0.0</v>
      </c>
      <c r="AU155" s="5">
        <v>0.0</v>
      </c>
      <c r="AV155" s="5">
        <v>0.0</v>
      </c>
    </row>
    <row r="156">
      <c r="A156" s="1" t="s">
        <v>173</v>
      </c>
      <c r="B156" s="1">
        <v>1.0</v>
      </c>
      <c r="C156" s="1">
        <v>20250.83398</v>
      </c>
      <c r="D156" s="1">
        <f t="shared" si="4"/>
        <v>21000000</v>
      </c>
      <c r="E156" s="2">
        <f t="shared" si="1"/>
        <v>56.09099579</v>
      </c>
      <c r="F156" s="1">
        <v>43.90900421</v>
      </c>
      <c r="G156" s="4">
        <f t="shared" si="2"/>
        <v>8891.939545</v>
      </c>
      <c r="R156" s="5">
        <v>82.54729103</v>
      </c>
      <c r="S156" s="5">
        <f t="shared" si="5"/>
        <v>83</v>
      </c>
      <c r="T156" s="5">
        <v>3.854734527</v>
      </c>
      <c r="U156" s="5">
        <v>12.24697135</v>
      </c>
      <c r="V156" s="5">
        <v>1.35100309</v>
      </c>
      <c r="W156" s="5"/>
      <c r="X156" s="1">
        <v>72.08089521</v>
      </c>
      <c r="Y156" s="1">
        <v>3.78241223</v>
      </c>
      <c r="Z156" s="1">
        <v>21.72810084</v>
      </c>
      <c r="AA156" s="1">
        <v>2.408591717</v>
      </c>
      <c r="AB156" s="1"/>
      <c r="AC156" s="1">
        <v>95.91745475</v>
      </c>
      <c r="AD156" s="1">
        <v>3.947121723</v>
      </c>
      <c r="AE156" s="1">
        <v>0.1354235314</v>
      </c>
      <c r="AF156" s="1">
        <v>0.0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>
        <v>1.0</v>
      </c>
      <c r="AQ156" s="1">
        <v>20250.83398</v>
      </c>
      <c r="AR156" s="1">
        <v>43.90900421</v>
      </c>
      <c r="AS156" s="5">
        <v>82.54729103</v>
      </c>
      <c r="AT156" s="5">
        <v>3.854734527</v>
      </c>
      <c r="AU156" s="5">
        <v>12.24697135</v>
      </c>
      <c r="AV156" s="5">
        <v>1.35100309</v>
      </c>
    </row>
    <row r="157">
      <c r="A157" s="1" t="s">
        <v>174</v>
      </c>
      <c r="B157" s="1">
        <v>1.0</v>
      </c>
      <c r="C157" s="1">
        <v>20903.27734</v>
      </c>
      <c r="D157" s="1">
        <f t="shared" si="4"/>
        <v>21000000</v>
      </c>
      <c r="E157" s="2">
        <f t="shared" si="1"/>
        <v>69.39299965</v>
      </c>
      <c r="F157" s="1">
        <v>30.60700035</v>
      </c>
      <c r="G157" s="4">
        <f t="shared" si="2"/>
        <v>6397.866169</v>
      </c>
      <c r="R157" s="5">
        <v>47.21485446</v>
      </c>
      <c r="S157" s="5">
        <f t="shared" si="5"/>
        <v>47</v>
      </c>
      <c r="T157" s="5">
        <v>31.2730034</v>
      </c>
      <c r="U157" s="5">
        <v>21.15863263</v>
      </c>
      <c r="V157" s="5">
        <v>0.3535095024</v>
      </c>
      <c r="W157" s="5"/>
      <c r="X157" s="1">
        <v>32.7182589</v>
      </c>
      <c r="Y157" s="1">
        <v>38.62690254</v>
      </c>
      <c r="Z157" s="1">
        <v>28.3404457</v>
      </c>
      <c r="AA157" s="1">
        <v>0.3143928626</v>
      </c>
      <c r="AB157" s="1"/>
      <c r="AC157" s="1">
        <v>80.08191854</v>
      </c>
      <c r="AD157" s="1">
        <v>14.60004919</v>
      </c>
      <c r="AE157" s="1">
        <v>4.875836487</v>
      </c>
      <c r="AF157" s="1">
        <v>0.4421957805</v>
      </c>
      <c r="AG157" s="1"/>
      <c r="AH157" s="1"/>
      <c r="AI157" s="1"/>
      <c r="AJ157" s="1"/>
      <c r="AK157" s="1"/>
      <c r="AL157" s="1"/>
      <c r="AM157" s="1"/>
      <c r="AN157" s="1"/>
      <c r="AO157" s="1"/>
      <c r="AP157" s="1">
        <v>1.0</v>
      </c>
      <c r="AQ157" s="1">
        <v>20903.27734</v>
      </c>
      <c r="AR157" s="1">
        <v>30.60700035</v>
      </c>
      <c r="AS157" s="5">
        <v>47.21485446</v>
      </c>
      <c r="AT157" s="5">
        <v>31.2730034</v>
      </c>
      <c r="AU157" s="5">
        <v>21.15863263</v>
      </c>
      <c r="AV157" s="5">
        <v>0.3535095024</v>
      </c>
    </row>
    <row r="158">
      <c r="A158" s="1" t="s">
        <v>175</v>
      </c>
      <c r="B158" s="1">
        <v>2.0</v>
      </c>
      <c r="C158" s="1">
        <v>21413.25</v>
      </c>
      <c r="D158" s="1">
        <f t="shared" si="4"/>
        <v>22000000</v>
      </c>
      <c r="E158" s="2">
        <f t="shared" si="1"/>
        <v>81.28700066</v>
      </c>
      <c r="F158" s="1">
        <v>18.71299934</v>
      </c>
      <c r="G158" s="4">
        <f t="shared" si="2"/>
        <v>4007.061331</v>
      </c>
      <c r="R158" s="5">
        <v>92.22757937</v>
      </c>
      <c r="S158" s="5">
        <f t="shared" si="5"/>
        <v>92</v>
      </c>
      <c r="T158" s="5">
        <v>0.5954581495</v>
      </c>
      <c r="U158" s="5">
        <v>5.348927064</v>
      </c>
      <c r="V158" s="5">
        <v>1.82803542</v>
      </c>
      <c r="W158" s="5"/>
      <c r="X158" s="1">
        <v>90.5374357</v>
      </c>
      <c r="Y158" s="1">
        <v>0.7032099038</v>
      </c>
      <c r="Z158" s="1">
        <v>6.510488612</v>
      </c>
      <c r="AA158" s="1">
        <v>2.248865782</v>
      </c>
      <c r="AB158" s="1"/>
      <c r="AC158" s="1">
        <v>99.56938019</v>
      </c>
      <c r="AD158" s="1">
        <v>0.1273977901</v>
      </c>
      <c r="AE158" s="1">
        <v>0.3032220202</v>
      </c>
      <c r="AF158" s="1">
        <v>0.0</v>
      </c>
      <c r="AG158" s="1"/>
      <c r="AH158" s="1"/>
      <c r="AI158" s="1"/>
      <c r="AJ158" s="1"/>
      <c r="AK158" s="1"/>
      <c r="AL158" s="1"/>
      <c r="AM158" s="1"/>
      <c r="AN158" s="1"/>
      <c r="AO158" s="1"/>
      <c r="AP158" s="1">
        <v>2.0</v>
      </c>
      <c r="AQ158" s="1">
        <v>21413.25</v>
      </c>
      <c r="AR158" s="1">
        <v>18.71299934</v>
      </c>
      <c r="AS158" s="5">
        <v>92.22757937</v>
      </c>
      <c r="AT158" s="5">
        <v>0.5954581495</v>
      </c>
      <c r="AU158" s="5">
        <v>5.348927064</v>
      </c>
      <c r="AV158" s="5">
        <v>1.82803542</v>
      </c>
    </row>
    <row r="159">
      <c r="A159" s="1" t="s">
        <v>176</v>
      </c>
      <c r="B159" s="1">
        <v>1.0</v>
      </c>
      <c r="C159" s="1">
        <v>24206.63672</v>
      </c>
      <c r="D159" s="1">
        <f t="shared" si="4"/>
        <v>25000000</v>
      </c>
      <c r="E159" s="2">
        <f t="shared" si="1"/>
        <v>83.37400055</v>
      </c>
      <c r="F159" s="1">
        <v>16.62599945</v>
      </c>
      <c r="G159" s="4">
        <f t="shared" si="2"/>
        <v>4024.595288</v>
      </c>
      <c r="R159" s="5">
        <v>46.91179747</v>
      </c>
      <c r="S159" s="5">
        <f t="shared" si="5"/>
        <v>47</v>
      </c>
      <c r="T159" s="5">
        <v>21.6538987</v>
      </c>
      <c r="U159" s="5">
        <v>27.02751244</v>
      </c>
      <c r="V159" s="5">
        <v>4.406791392</v>
      </c>
      <c r="W159" s="5"/>
      <c r="X159" s="1">
        <v>39.15415932</v>
      </c>
      <c r="Y159" s="1">
        <v>23.98774039</v>
      </c>
      <c r="Z159" s="1">
        <v>31.99150648</v>
      </c>
      <c r="AA159" s="1">
        <v>4.866593813</v>
      </c>
      <c r="AB159" s="1"/>
      <c r="AC159" s="1">
        <v>85.81383976</v>
      </c>
      <c r="AD159" s="1">
        <v>9.950440829</v>
      </c>
      <c r="AE159" s="1">
        <v>2.13468778</v>
      </c>
      <c r="AF159" s="1">
        <v>2.101031634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>
        <v>1.0</v>
      </c>
      <c r="AQ159" s="1">
        <v>24206.63672</v>
      </c>
      <c r="AR159" s="1">
        <v>16.62599945</v>
      </c>
      <c r="AS159" s="5">
        <v>46.91179747</v>
      </c>
      <c r="AT159" s="5">
        <v>21.6538987</v>
      </c>
      <c r="AU159" s="5">
        <v>27.02751244</v>
      </c>
      <c r="AV159" s="5">
        <v>4.406791392</v>
      </c>
    </row>
    <row r="160">
      <c r="A160" s="1" t="s">
        <v>177</v>
      </c>
      <c r="B160" s="1">
        <v>4.0</v>
      </c>
      <c r="C160" s="1">
        <v>25499.88086</v>
      </c>
      <c r="D160" s="1">
        <f t="shared" si="4"/>
        <v>26000000</v>
      </c>
      <c r="E160" s="2">
        <f t="shared" si="1"/>
        <v>13.75900269</v>
      </c>
      <c r="F160" s="1">
        <v>86.24099731</v>
      </c>
      <c r="G160" s="4">
        <f t="shared" si="2"/>
        <v>21991.35157</v>
      </c>
      <c r="R160" s="5">
        <v>99.96981182</v>
      </c>
      <c r="S160" s="5">
        <f t="shared" si="5"/>
        <v>100</v>
      </c>
      <c r="T160" s="5">
        <v>0.0</v>
      </c>
      <c r="U160" s="5">
        <v>0.03018817873</v>
      </c>
      <c r="V160" s="5">
        <v>0.0</v>
      </c>
      <c r="W160" s="5"/>
      <c r="X160" s="1">
        <v>100.0</v>
      </c>
      <c r="Y160" s="1">
        <v>0.0</v>
      </c>
      <c r="Z160" s="1">
        <v>0.0</v>
      </c>
      <c r="AA160" s="1">
        <v>0.0</v>
      </c>
      <c r="AB160" s="1"/>
      <c r="AC160" s="1">
        <v>99.965</v>
      </c>
      <c r="AD160" s="1">
        <v>0.0</v>
      </c>
      <c r="AE160" s="1">
        <v>0.035</v>
      </c>
      <c r="AF160" s="1">
        <v>0.0</v>
      </c>
      <c r="AG160" s="1"/>
      <c r="AH160" s="1"/>
      <c r="AI160" s="1"/>
      <c r="AJ160" s="1"/>
      <c r="AK160" s="1"/>
      <c r="AL160" s="1"/>
      <c r="AM160" s="1"/>
      <c r="AN160" s="1"/>
      <c r="AO160" s="1"/>
      <c r="AP160" s="1">
        <v>4.0</v>
      </c>
      <c r="AQ160" s="1">
        <v>25499.88086</v>
      </c>
      <c r="AR160" s="1">
        <v>86.24099731</v>
      </c>
      <c r="AS160" s="5">
        <v>99.96981182</v>
      </c>
      <c r="AT160" s="5">
        <v>0.0</v>
      </c>
      <c r="AU160" s="5">
        <v>0.03018817873</v>
      </c>
      <c r="AV160" s="5">
        <v>0.0</v>
      </c>
    </row>
    <row r="161">
      <c r="A161" s="1" t="s">
        <v>178</v>
      </c>
      <c r="B161" s="1">
        <v>1.0</v>
      </c>
      <c r="C161" s="1">
        <v>25778.81445</v>
      </c>
      <c r="D161" s="1">
        <f t="shared" si="4"/>
        <v>26000000</v>
      </c>
      <c r="E161" s="2">
        <f t="shared" si="1"/>
        <v>37.61899948</v>
      </c>
      <c r="F161" s="1">
        <v>62.38100052</v>
      </c>
      <c r="G161" s="4">
        <f t="shared" si="2"/>
        <v>16081.08238</v>
      </c>
      <c r="R161" s="5">
        <v>93.84384303</v>
      </c>
      <c r="S161" s="5">
        <f t="shared" si="5"/>
        <v>94</v>
      </c>
      <c r="T161" s="5">
        <v>0.6831311872</v>
      </c>
      <c r="U161" s="5">
        <v>5.20969278</v>
      </c>
      <c r="V161" s="5">
        <v>0.2633330058</v>
      </c>
      <c r="W161" s="5"/>
      <c r="X161" s="1">
        <v>88.75362488</v>
      </c>
      <c r="Y161" s="1">
        <v>0.3564402606</v>
      </c>
      <c r="Z161" s="1">
        <v>10.18993486</v>
      </c>
      <c r="AA161" s="1">
        <v>0.7</v>
      </c>
      <c r="AB161" s="1"/>
      <c r="AC161" s="1">
        <v>96.91351044</v>
      </c>
      <c r="AD161" s="1">
        <v>0.8801428799</v>
      </c>
      <c r="AE161" s="1">
        <v>2.206346677</v>
      </c>
      <c r="AF161" s="1">
        <v>0.0</v>
      </c>
      <c r="AG161" s="1"/>
      <c r="AH161" s="1"/>
      <c r="AI161" s="1"/>
      <c r="AJ161" s="1"/>
      <c r="AK161" s="1"/>
      <c r="AL161" s="1"/>
      <c r="AM161" s="1"/>
      <c r="AN161" s="1"/>
      <c r="AO161" s="1"/>
      <c r="AP161" s="1">
        <v>1.0</v>
      </c>
      <c r="AQ161" s="1">
        <v>25778.81445</v>
      </c>
      <c r="AR161" s="1">
        <v>62.38100052</v>
      </c>
      <c r="AS161" s="5">
        <v>93.84384303</v>
      </c>
      <c r="AT161" s="5">
        <v>0.6831311872</v>
      </c>
      <c r="AU161" s="5">
        <v>5.20969278</v>
      </c>
      <c r="AV161" s="5">
        <v>0.2633330058</v>
      </c>
    </row>
    <row r="162">
      <c r="A162" s="1" t="s">
        <v>179</v>
      </c>
      <c r="B162" s="1">
        <v>2.0</v>
      </c>
      <c r="C162" s="1">
        <v>26378.27539</v>
      </c>
      <c r="D162" s="1">
        <f t="shared" si="4"/>
        <v>27000000</v>
      </c>
      <c r="E162" s="2">
        <f t="shared" si="1"/>
        <v>48.29400253</v>
      </c>
      <c r="F162" s="1">
        <v>51.70599747</v>
      </c>
      <c r="G162" s="4">
        <f t="shared" si="2"/>
        <v>13639.15041</v>
      </c>
      <c r="R162" s="5">
        <v>70.90907039</v>
      </c>
      <c r="S162" s="5">
        <f t="shared" si="5"/>
        <v>71</v>
      </c>
      <c r="T162" s="5">
        <v>8.935421702</v>
      </c>
      <c r="U162" s="5">
        <v>14.19244161</v>
      </c>
      <c r="V162" s="5">
        <v>5.963066293</v>
      </c>
      <c r="W162" s="5"/>
      <c r="X162" s="1">
        <v>55.72244686</v>
      </c>
      <c r="Y162" s="1">
        <v>13.34316829</v>
      </c>
      <c r="Z162" s="1">
        <v>23.17527956</v>
      </c>
      <c r="AA162" s="1">
        <v>7.759105289</v>
      </c>
      <c r="AB162" s="1"/>
      <c r="AC162" s="1">
        <v>85.09355329</v>
      </c>
      <c r="AD162" s="1">
        <v>4.818535156</v>
      </c>
      <c r="AE162" s="1">
        <v>5.80236656</v>
      </c>
      <c r="AF162" s="1">
        <v>4.285544994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>
        <v>2.0</v>
      </c>
      <c r="AQ162" s="1">
        <v>26378.27539</v>
      </c>
      <c r="AR162" s="1">
        <v>51.70599747</v>
      </c>
      <c r="AS162" s="5">
        <v>70.90907039</v>
      </c>
      <c r="AT162" s="5">
        <v>8.935421702</v>
      </c>
      <c r="AU162" s="5">
        <v>14.19244161</v>
      </c>
      <c r="AV162" s="5">
        <v>5.963066293</v>
      </c>
    </row>
    <row r="163">
      <c r="A163" s="1" t="s">
        <v>180</v>
      </c>
      <c r="B163" s="1">
        <v>2.0</v>
      </c>
      <c r="C163" s="1">
        <v>26545.86328</v>
      </c>
      <c r="D163" s="1">
        <f t="shared" si="4"/>
        <v>27000000</v>
      </c>
      <c r="E163" s="2">
        <f t="shared" si="1"/>
        <v>42.43999481</v>
      </c>
      <c r="F163" s="1">
        <v>57.56000519</v>
      </c>
      <c r="G163" s="4">
        <f t="shared" si="2"/>
        <v>15279.80028</v>
      </c>
      <c r="R163" s="5">
        <v>65.72041818</v>
      </c>
      <c r="S163" s="5">
        <f t="shared" si="5"/>
        <v>66</v>
      </c>
      <c r="T163" s="5">
        <v>12.87474863</v>
      </c>
      <c r="U163" s="5">
        <v>15.00100626</v>
      </c>
      <c r="V163" s="5">
        <v>6.403826927</v>
      </c>
      <c r="W163" s="5"/>
      <c r="X163" s="1">
        <v>43.52758112</v>
      </c>
      <c r="Y163" s="1">
        <v>12.67259943</v>
      </c>
      <c r="Z163" s="1">
        <v>30.12380645</v>
      </c>
      <c r="AA163" s="1">
        <v>13.676013</v>
      </c>
      <c r="AB163" s="1"/>
      <c r="AC163" s="1">
        <v>82.08358486</v>
      </c>
      <c r="AD163" s="1">
        <v>13.02379677</v>
      </c>
      <c r="AE163" s="1">
        <v>3.850701351</v>
      </c>
      <c r="AF163" s="1">
        <v>1.041917019</v>
      </c>
      <c r="AG163" s="1"/>
      <c r="AH163" s="1"/>
      <c r="AI163" s="1"/>
      <c r="AJ163" s="1"/>
      <c r="AK163" s="1"/>
      <c r="AL163" s="1"/>
      <c r="AM163" s="1"/>
      <c r="AN163" s="1"/>
      <c r="AO163" s="1"/>
      <c r="AP163" s="1">
        <v>2.0</v>
      </c>
      <c r="AQ163" s="1">
        <v>26545.86328</v>
      </c>
      <c r="AR163" s="1">
        <v>57.56000519</v>
      </c>
      <c r="AS163" s="5">
        <v>65.72041818</v>
      </c>
      <c r="AT163" s="5">
        <v>12.87474863</v>
      </c>
      <c r="AU163" s="5">
        <v>15.00100626</v>
      </c>
      <c r="AV163" s="5">
        <v>6.403826927</v>
      </c>
    </row>
    <row r="164">
      <c r="A164" s="1" t="s">
        <v>181</v>
      </c>
      <c r="B164" s="1">
        <v>1.0</v>
      </c>
      <c r="C164" s="1">
        <v>27691.01953</v>
      </c>
      <c r="D164" s="1">
        <f t="shared" si="4"/>
        <v>28000000</v>
      </c>
      <c r="E164" s="2">
        <f t="shared" si="1"/>
        <v>61.4659996</v>
      </c>
      <c r="F164" s="1">
        <v>38.5340004</v>
      </c>
      <c r="G164" s="4">
        <f t="shared" si="2"/>
        <v>10670.45758</v>
      </c>
      <c r="R164" s="5">
        <v>53.38588491</v>
      </c>
      <c r="S164" s="5">
        <f t="shared" si="5"/>
        <v>53</v>
      </c>
      <c r="T164" s="5">
        <v>2.71797298</v>
      </c>
      <c r="U164" s="5">
        <v>32.31145967</v>
      </c>
      <c r="V164" s="5">
        <v>11.58468244</v>
      </c>
      <c r="W164" s="5"/>
      <c r="X164" s="1">
        <v>36.40642028</v>
      </c>
      <c r="Y164" s="1">
        <v>1.601776163</v>
      </c>
      <c r="Z164" s="1">
        <v>43.95389345</v>
      </c>
      <c r="AA164" s="1">
        <v>18.03791011</v>
      </c>
      <c r="AB164" s="1"/>
      <c r="AC164" s="1">
        <v>80.47000694</v>
      </c>
      <c r="AD164" s="1">
        <v>4.498430298</v>
      </c>
      <c r="AE164" s="1">
        <v>13.74049434</v>
      </c>
      <c r="AF164" s="1">
        <v>1.291068417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>
        <v>1.0</v>
      </c>
      <c r="AQ164" s="1">
        <v>27691.01953</v>
      </c>
      <c r="AR164" s="1">
        <v>38.5340004</v>
      </c>
      <c r="AS164" s="5">
        <v>53.38588491</v>
      </c>
      <c r="AT164" s="5">
        <v>2.71797298</v>
      </c>
      <c r="AU164" s="5">
        <v>32.31145967</v>
      </c>
      <c r="AV164" s="5">
        <v>11.58468244</v>
      </c>
    </row>
    <row r="165">
      <c r="A165" s="1" t="s">
        <v>182</v>
      </c>
      <c r="B165" s="1">
        <v>0.0</v>
      </c>
      <c r="C165" s="1">
        <v>28435.94336</v>
      </c>
      <c r="D165" s="1">
        <f t="shared" si="4"/>
        <v>29000000</v>
      </c>
      <c r="E165" s="2">
        <f t="shared" si="1"/>
        <v>11.72100067</v>
      </c>
      <c r="F165" s="1">
        <v>88.27899933</v>
      </c>
      <c r="G165" s="4">
        <f t="shared" si="2"/>
        <v>25102.96625</v>
      </c>
      <c r="R165" s="5">
        <v>93.68580071</v>
      </c>
      <c r="S165" s="5">
        <f t="shared" si="5"/>
        <v>94</v>
      </c>
      <c r="T165" s="5">
        <v>0.4707829181</v>
      </c>
      <c r="U165" s="5">
        <v>5.843416373</v>
      </c>
      <c r="V165" s="7" t="s">
        <v>19</v>
      </c>
      <c r="W165" s="7"/>
      <c r="X165" s="1" t="s">
        <v>19</v>
      </c>
      <c r="Y165" s="1" t="s">
        <v>19</v>
      </c>
      <c r="Z165" s="1" t="s">
        <v>19</v>
      </c>
      <c r="AA165" s="1" t="s">
        <v>19</v>
      </c>
      <c r="AB165" s="1"/>
      <c r="AC165" s="1" t="s">
        <v>19</v>
      </c>
      <c r="AD165" s="1" t="s">
        <v>19</v>
      </c>
      <c r="AE165" s="1" t="s">
        <v>19</v>
      </c>
      <c r="AF165" s="1" t="s">
        <v>19</v>
      </c>
      <c r="AG165" s="1"/>
      <c r="AH165" s="1"/>
      <c r="AI165" s="1"/>
      <c r="AJ165" s="1"/>
      <c r="AK165" s="1"/>
      <c r="AL165" s="1"/>
      <c r="AM165" s="1"/>
      <c r="AN165" s="1"/>
      <c r="AO165" s="1"/>
      <c r="AP165" s="1">
        <v>0.0</v>
      </c>
      <c r="AQ165" s="1">
        <v>28435.94336</v>
      </c>
      <c r="AR165" s="1">
        <v>88.27899933</v>
      </c>
      <c r="AS165" s="5">
        <v>93.68580071</v>
      </c>
      <c r="AT165" s="5">
        <v>0.4707829181</v>
      </c>
      <c r="AU165" s="5">
        <v>5.843416373</v>
      </c>
      <c r="AV165" s="7" t="s">
        <v>19</v>
      </c>
    </row>
    <row r="166">
      <c r="A166" s="1" t="s">
        <v>183</v>
      </c>
      <c r="B166" s="1">
        <v>2.0</v>
      </c>
      <c r="C166" s="1">
        <v>29136.80859</v>
      </c>
      <c r="D166" s="1">
        <f t="shared" si="4"/>
        <v>30000000</v>
      </c>
      <c r="E166" s="2">
        <f t="shared" si="1"/>
        <v>79.42399979</v>
      </c>
      <c r="F166" s="1">
        <v>20.57600021</v>
      </c>
      <c r="G166" s="4">
        <f t="shared" si="2"/>
        <v>5995.189797</v>
      </c>
      <c r="R166" s="5">
        <v>90.07454179</v>
      </c>
      <c r="S166" s="5">
        <f t="shared" si="5"/>
        <v>90</v>
      </c>
      <c r="T166" s="5">
        <v>3.979825725</v>
      </c>
      <c r="U166" s="5">
        <v>4.699081176</v>
      </c>
      <c r="V166" s="5">
        <v>1.246551314</v>
      </c>
      <c r="W166" s="5"/>
      <c r="X166" s="1">
        <v>90.20327165</v>
      </c>
      <c r="Y166" s="1">
        <v>4.207348246</v>
      </c>
      <c r="Z166" s="1">
        <v>4.269023951</v>
      </c>
      <c r="AA166" s="1">
        <v>1.320356149</v>
      </c>
      <c r="AB166" s="1"/>
      <c r="AC166" s="1">
        <v>89.57763316</v>
      </c>
      <c r="AD166" s="1">
        <v>3.101581411</v>
      </c>
      <c r="AE166" s="1">
        <v>6.359123168</v>
      </c>
      <c r="AF166" s="1">
        <v>0.9616622585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>
        <v>2.0</v>
      </c>
      <c r="AQ166" s="1">
        <v>29136.80859</v>
      </c>
      <c r="AR166" s="1">
        <v>20.57600021</v>
      </c>
      <c r="AS166" s="5">
        <v>90.07454179</v>
      </c>
      <c r="AT166" s="5">
        <v>3.979825725</v>
      </c>
      <c r="AU166" s="5">
        <v>4.699081176</v>
      </c>
      <c r="AV166" s="5">
        <v>1.246551314</v>
      </c>
    </row>
    <row r="167">
      <c r="A167" s="1" t="s">
        <v>184</v>
      </c>
      <c r="B167" s="1">
        <v>1.0</v>
      </c>
      <c r="C167" s="1">
        <v>29825.96875</v>
      </c>
      <c r="D167" s="1">
        <f t="shared" si="4"/>
        <v>30000000</v>
      </c>
      <c r="E167" s="2">
        <f t="shared" si="1"/>
        <v>62.09200287</v>
      </c>
      <c r="F167" s="1">
        <v>37.90799713</v>
      </c>
      <c r="G167" s="4">
        <f t="shared" si="2"/>
        <v>11306.42738</v>
      </c>
      <c r="R167" s="5">
        <v>60.66356984</v>
      </c>
      <c r="S167" s="5">
        <f t="shared" si="5"/>
        <v>61</v>
      </c>
      <c r="T167" s="5">
        <v>28.9627418</v>
      </c>
      <c r="U167" s="5">
        <v>7.77785276</v>
      </c>
      <c r="V167" s="5">
        <v>2.595835594</v>
      </c>
      <c r="W167" s="5"/>
      <c r="X167" s="1">
        <v>50.68133437</v>
      </c>
      <c r="Y167" s="1">
        <v>33.53021373</v>
      </c>
      <c r="Z167" s="1">
        <v>11.60782393</v>
      </c>
      <c r="AA167" s="1">
        <v>4.180627978</v>
      </c>
      <c r="AB167" s="1"/>
      <c r="AC167" s="1">
        <v>77.01412934</v>
      </c>
      <c r="AD167" s="1">
        <v>21.48137937</v>
      </c>
      <c r="AE167" s="1">
        <v>1.504491286</v>
      </c>
      <c r="AF167" s="1">
        <v>0.0</v>
      </c>
      <c r="AG167" s="1"/>
      <c r="AH167" s="1"/>
      <c r="AI167" s="1"/>
      <c r="AJ167" s="1"/>
      <c r="AK167" s="1"/>
      <c r="AL167" s="1"/>
      <c r="AM167" s="1"/>
      <c r="AN167" s="1"/>
      <c r="AO167" s="1"/>
      <c r="AP167" s="1">
        <v>1.0</v>
      </c>
      <c r="AQ167" s="1">
        <v>29825.96875</v>
      </c>
      <c r="AR167" s="1">
        <v>37.90799713</v>
      </c>
      <c r="AS167" s="5">
        <v>60.66356984</v>
      </c>
      <c r="AT167" s="5">
        <v>28.9627418</v>
      </c>
      <c r="AU167" s="5">
        <v>7.77785276</v>
      </c>
      <c r="AV167" s="5">
        <v>2.595835594</v>
      </c>
    </row>
    <row r="168">
      <c r="A168" s="1" t="s">
        <v>185</v>
      </c>
      <c r="B168" s="1">
        <v>2.0</v>
      </c>
      <c r="C168" s="1">
        <v>31072.94531</v>
      </c>
      <c r="D168" s="1">
        <f t="shared" si="4"/>
        <v>32000000</v>
      </c>
      <c r="E168" s="2">
        <f t="shared" si="1"/>
        <v>42.65100098</v>
      </c>
      <c r="F168" s="1">
        <v>57.34899902</v>
      </c>
      <c r="G168" s="4">
        <f t="shared" si="2"/>
        <v>17820.0231</v>
      </c>
      <c r="R168" s="5">
        <v>85.79099665</v>
      </c>
      <c r="S168" s="5">
        <f t="shared" si="5"/>
        <v>86</v>
      </c>
      <c r="T168" s="5">
        <v>6.586062113</v>
      </c>
      <c r="U168" s="5">
        <v>2.812216176</v>
      </c>
      <c r="V168" s="5">
        <v>4.810725058</v>
      </c>
      <c r="W168" s="5"/>
      <c r="X168" s="1">
        <v>71.89275005</v>
      </c>
      <c r="Y168" s="1">
        <v>11.93454827</v>
      </c>
      <c r="Z168" s="1">
        <v>4.999356483</v>
      </c>
      <c r="AA168" s="1">
        <v>11.17334519</v>
      </c>
      <c r="AB168" s="1"/>
      <c r="AC168" s="1">
        <v>96.12725952</v>
      </c>
      <c r="AD168" s="1">
        <v>2.608342455</v>
      </c>
      <c r="AE168" s="1">
        <v>1.185613803</v>
      </c>
      <c r="AF168" s="1">
        <v>0.07878421819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>
        <v>2.0</v>
      </c>
      <c r="AQ168" s="1">
        <v>31072.94531</v>
      </c>
      <c r="AR168" s="1">
        <v>57.34899902</v>
      </c>
      <c r="AS168" s="5">
        <v>85.79099665</v>
      </c>
      <c r="AT168" s="5">
        <v>6.586062113</v>
      </c>
      <c r="AU168" s="5">
        <v>2.812216176</v>
      </c>
      <c r="AV168" s="5">
        <v>4.810725058</v>
      </c>
    </row>
    <row r="169">
      <c r="A169" s="1" t="s">
        <v>186</v>
      </c>
      <c r="B169" s="1">
        <v>1.0</v>
      </c>
      <c r="C169" s="1">
        <v>31255.43555</v>
      </c>
      <c r="D169" s="1">
        <f t="shared" si="4"/>
        <v>32000000</v>
      </c>
      <c r="E169" s="2">
        <f t="shared" si="1"/>
        <v>62.9260025</v>
      </c>
      <c r="F169" s="1">
        <v>37.0739975</v>
      </c>
      <c r="G169" s="4">
        <f t="shared" si="2"/>
        <v>11587.63939</v>
      </c>
      <c r="R169" s="5">
        <v>63.36942563</v>
      </c>
      <c r="S169" s="5">
        <f t="shared" si="5"/>
        <v>63</v>
      </c>
      <c r="T169" s="5">
        <v>9.975784507</v>
      </c>
      <c r="U169" s="5">
        <v>16.72614511</v>
      </c>
      <c r="V169" s="5">
        <v>9.928644759</v>
      </c>
      <c r="W169" s="5"/>
      <c r="X169" s="1">
        <v>48.8666865</v>
      </c>
      <c r="Y169" s="1">
        <v>12.64088359</v>
      </c>
      <c r="Z169" s="1">
        <v>23.6862564</v>
      </c>
      <c r="AA169" s="1">
        <v>14.80617352</v>
      </c>
      <c r="AB169" s="1"/>
      <c r="AC169" s="1">
        <v>87.98504792</v>
      </c>
      <c r="AD169" s="1">
        <v>5.452291027</v>
      </c>
      <c r="AE169" s="1">
        <v>4.912684644</v>
      </c>
      <c r="AF169" s="1">
        <v>1.649976404</v>
      </c>
      <c r="AG169" s="1"/>
      <c r="AH169" s="1"/>
      <c r="AI169" s="1"/>
      <c r="AJ169" s="1"/>
      <c r="AK169" s="1"/>
      <c r="AL169" s="1"/>
      <c r="AM169" s="1"/>
      <c r="AN169" s="1"/>
      <c r="AO169" s="1"/>
      <c r="AP169" s="1">
        <v>1.0</v>
      </c>
      <c r="AQ169" s="1">
        <v>31255.43555</v>
      </c>
      <c r="AR169" s="1">
        <v>37.0739975</v>
      </c>
      <c r="AS169" s="5">
        <v>63.36942563</v>
      </c>
      <c r="AT169" s="5">
        <v>9.975784507</v>
      </c>
      <c r="AU169" s="5">
        <v>16.72614511</v>
      </c>
      <c r="AV169" s="5">
        <v>9.928644759</v>
      </c>
    </row>
    <row r="170">
      <c r="A170" s="1" t="s">
        <v>187</v>
      </c>
      <c r="B170" s="1">
        <v>3.0</v>
      </c>
      <c r="C170" s="1">
        <v>32365.99805</v>
      </c>
      <c r="D170" s="1">
        <f t="shared" si="4"/>
        <v>33000000</v>
      </c>
      <c r="E170" s="2">
        <f t="shared" si="1"/>
        <v>22.84000397</v>
      </c>
      <c r="F170" s="1">
        <v>77.15999603</v>
      </c>
      <c r="G170" s="4">
        <f t="shared" si="2"/>
        <v>24973.60281</v>
      </c>
      <c r="R170" s="5">
        <v>97.09990707</v>
      </c>
      <c r="S170" s="5">
        <f t="shared" si="5"/>
        <v>97</v>
      </c>
      <c r="T170" s="5">
        <v>0.3545396865</v>
      </c>
      <c r="U170" s="5">
        <v>2.545553241</v>
      </c>
      <c r="V170" s="7" t="s">
        <v>19</v>
      </c>
      <c r="W170" s="7"/>
      <c r="X170" s="1">
        <v>90.19744812</v>
      </c>
      <c r="Y170" s="1">
        <v>0.5444513971</v>
      </c>
      <c r="Z170" s="1">
        <v>9.258100478</v>
      </c>
      <c r="AA170" s="1" t="s">
        <v>19</v>
      </c>
      <c r="AB170" s="1"/>
      <c r="AC170" s="1">
        <v>99.14309591</v>
      </c>
      <c r="AD170" s="1">
        <v>0.2983242605</v>
      </c>
      <c r="AE170" s="1">
        <v>0.4685798319</v>
      </c>
      <c r="AF170" s="1">
        <v>0.09</v>
      </c>
      <c r="AG170" s="1"/>
      <c r="AH170" s="1"/>
      <c r="AI170" s="1"/>
      <c r="AJ170" s="1"/>
      <c r="AK170" s="1"/>
      <c r="AL170" s="1"/>
      <c r="AM170" s="1"/>
      <c r="AN170" s="1"/>
      <c r="AO170" s="1"/>
      <c r="AP170" s="1">
        <v>3.0</v>
      </c>
      <c r="AQ170" s="1">
        <v>32365.99805</v>
      </c>
      <c r="AR170" s="1">
        <v>77.15999603</v>
      </c>
      <c r="AS170" s="5">
        <v>97.09990707</v>
      </c>
      <c r="AT170" s="5">
        <v>0.3545396865</v>
      </c>
      <c r="AU170" s="5">
        <v>2.545553241</v>
      </c>
      <c r="AV170" s="7" t="s">
        <v>19</v>
      </c>
    </row>
    <row r="171">
      <c r="A171" s="1" t="s">
        <v>188</v>
      </c>
      <c r="B171" s="1">
        <v>2.0</v>
      </c>
      <c r="C171" s="1">
        <v>32866.26953</v>
      </c>
      <c r="D171" s="1">
        <f t="shared" si="4"/>
        <v>33000000</v>
      </c>
      <c r="E171" s="2">
        <f t="shared" si="1"/>
        <v>33.17500305</v>
      </c>
      <c r="F171" s="1">
        <v>66.82499695</v>
      </c>
      <c r="G171" s="4">
        <f t="shared" si="2"/>
        <v>21962.88361</v>
      </c>
      <c r="R171" s="5">
        <v>57.16773762</v>
      </c>
      <c r="S171" s="5">
        <f t="shared" si="5"/>
        <v>57</v>
      </c>
      <c r="T171" s="5">
        <v>9.287349919</v>
      </c>
      <c r="U171" s="5">
        <v>19.45082534</v>
      </c>
      <c r="V171" s="5">
        <v>14.09408712</v>
      </c>
      <c r="W171" s="5"/>
      <c r="X171" s="1">
        <v>27.80822661</v>
      </c>
      <c r="Y171" s="1">
        <v>8.740488389</v>
      </c>
      <c r="Z171" s="1">
        <v>22.93315258</v>
      </c>
      <c r="AA171" s="1">
        <v>40.51813242</v>
      </c>
      <c r="AB171" s="1"/>
      <c r="AC171" s="1">
        <v>71.74314862</v>
      </c>
      <c r="AD171" s="1">
        <v>9.558837489</v>
      </c>
      <c r="AE171" s="1">
        <v>17.72203473</v>
      </c>
      <c r="AF171" s="1">
        <v>0.9759791629</v>
      </c>
      <c r="AG171" s="1"/>
      <c r="AH171" s="1"/>
      <c r="AI171" s="1"/>
      <c r="AJ171" s="1"/>
      <c r="AK171" s="1"/>
      <c r="AL171" s="1"/>
      <c r="AM171" s="1"/>
      <c r="AN171" s="1"/>
      <c r="AO171" s="1"/>
      <c r="AP171" s="1">
        <v>2.0</v>
      </c>
      <c r="AQ171" s="1">
        <v>32866.26953</v>
      </c>
      <c r="AR171" s="1">
        <v>66.82499695</v>
      </c>
      <c r="AS171" s="5">
        <v>57.16773762</v>
      </c>
      <c r="AT171" s="5">
        <v>9.287349919</v>
      </c>
      <c r="AU171" s="5">
        <v>19.45082534</v>
      </c>
      <c r="AV171" s="5">
        <v>14.09408712</v>
      </c>
    </row>
    <row r="172">
      <c r="A172" s="1" t="s">
        <v>189</v>
      </c>
      <c r="B172" s="1">
        <v>3.0</v>
      </c>
      <c r="C172" s="1">
        <v>32971.84766</v>
      </c>
      <c r="D172" s="1">
        <f t="shared" si="4"/>
        <v>33000000</v>
      </c>
      <c r="E172" s="2">
        <f t="shared" si="1"/>
        <v>21.7029953</v>
      </c>
      <c r="F172" s="1">
        <v>78.2970047</v>
      </c>
      <c r="G172" s="4">
        <f t="shared" si="2"/>
        <v>25815.96911</v>
      </c>
      <c r="R172" s="5">
        <v>93.13936621</v>
      </c>
      <c r="S172" s="5">
        <f t="shared" si="5"/>
        <v>93</v>
      </c>
      <c r="T172" s="5">
        <v>0.8495593511</v>
      </c>
      <c r="U172" s="5">
        <v>4.150468349</v>
      </c>
      <c r="V172" s="5">
        <v>1.860606087</v>
      </c>
      <c r="W172" s="5"/>
      <c r="X172" s="1">
        <v>80.79943849</v>
      </c>
      <c r="Y172" s="1">
        <v>1.596943771</v>
      </c>
      <c r="Z172" s="1">
        <v>9.612691163</v>
      </c>
      <c r="AA172" s="1">
        <v>7.990926578</v>
      </c>
      <c r="AB172" s="1"/>
      <c r="AC172" s="1">
        <v>96.55984408</v>
      </c>
      <c r="AD172" s="1">
        <v>0.6423932356</v>
      </c>
      <c r="AE172" s="1">
        <v>2.636408693</v>
      </c>
      <c r="AF172" s="1">
        <v>0.1613539953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>
        <v>3.0</v>
      </c>
      <c r="AQ172" s="1">
        <v>32971.84766</v>
      </c>
      <c r="AR172" s="1">
        <v>78.2970047</v>
      </c>
      <c r="AS172" s="5">
        <v>93.13936621</v>
      </c>
      <c r="AT172" s="5">
        <v>0.8495593511</v>
      </c>
      <c r="AU172" s="5">
        <v>4.150468349</v>
      </c>
      <c r="AV172" s="5">
        <v>1.860606087</v>
      </c>
    </row>
    <row r="173">
      <c r="A173" s="1" t="s">
        <v>190</v>
      </c>
      <c r="B173" s="1">
        <v>2.0</v>
      </c>
      <c r="C173" s="1">
        <v>33469.19922</v>
      </c>
      <c r="D173" s="1">
        <f t="shared" si="4"/>
        <v>34000000</v>
      </c>
      <c r="E173" s="2">
        <f t="shared" si="1"/>
        <v>49.58400345</v>
      </c>
      <c r="F173" s="1">
        <v>50.41599655</v>
      </c>
      <c r="G173" s="4">
        <f t="shared" si="2"/>
        <v>16873.83032</v>
      </c>
      <c r="R173" s="5">
        <v>97.82878485</v>
      </c>
      <c r="S173" s="5">
        <f t="shared" si="5"/>
        <v>98</v>
      </c>
      <c r="T173" s="5">
        <v>0.0</v>
      </c>
      <c r="U173" s="5">
        <v>0.22384422</v>
      </c>
      <c r="V173" s="5">
        <v>1.947370925</v>
      </c>
      <c r="W173" s="5"/>
      <c r="X173" s="1">
        <v>96.07258236</v>
      </c>
      <c r="Y173" s="1">
        <v>0.0</v>
      </c>
      <c r="Z173" s="1">
        <v>0.0</v>
      </c>
      <c r="AA173" s="1">
        <v>3.927417637</v>
      </c>
      <c r="AB173" s="1"/>
      <c r="AC173" s="1">
        <v>99.55600556</v>
      </c>
      <c r="AD173" s="1">
        <v>0.0</v>
      </c>
      <c r="AE173" s="1">
        <v>0.4439944434</v>
      </c>
      <c r="AF173" s="1">
        <v>0.0</v>
      </c>
      <c r="AG173" s="1"/>
      <c r="AH173" s="1"/>
      <c r="AI173" s="1"/>
      <c r="AJ173" s="1"/>
      <c r="AK173" s="1"/>
      <c r="AL173" s="1"/>
      <c r="AM173" s="1"/>
      <c r="AN173" s="1"/>
      <c r="AO173" s="1"/>
      <c r="AP173" s="1">
        <v>2.0</v>
      </c>
      <c r="AQ173" s="1">
        <v>33469.19922</v>
      </c>
      <c r="AR173" s="1">
        <v>50.41599655</v>
      </c>
      <c r="AS173" s="5">
        <v>97.82878485</v>
      </c>
      <c r="AT173" s="5">
        <v>0.0</v>
      </c>
      <c r="AU173" s="5">
        <v>0.22384422</v>
      </c>
      <c r="AV173" s="5">
        <v>1.947370925</v>
      </c>
    </row>
    <row r="174">
      <c r="A174" s="1" t="s">
        <v>191</v>
      </c>
      <c r="B174" s="1">
        <v>4.0</v>
      </c>
      <c r="C174" s="1">
        <v>34813.86719</v>
      </c>
      <c r="D174" s="1">
        <f t="shared" si="4"/>
        <v>35000000</v>
      </c>
      <c r="E174" s="2">
        <f t="shared" si="1"/>
        <v>15.71299744</v>
      </c>
      <c r="F174" s="1">
        <v>84.28700256</v>
      </c>
      <c r="G174" s="4">
        <f t="shared" si="2"/>
        <v>29343.56513</v>
      </c>
      <c r="R174" s="5">
        <v>100.0</v>
      </c>
      <c r="S174" s="5">
        <f t="shared" si="5"/>
        <v>100</v>
      </c>
      <c r="T174" s="5">
        <v>0.0</v>
      </c>
      <c r="U174" s="5">
        <v>0.0</v>
      </c>
      <c r="V174" s="5">
        <v>0.0</v>
      </c>
      <c r="W174" s="5"/>
      <c r="X174" s="1" t="s">
        <v>19</v>
      </c>
      <c r="Y174" s="1" t="s">
        <v>19</v>
      </c>
      <c r="Z174" s="1" t="s">
        <v>19</v>
      </c>
      <c r="AA174" s="1" t="s">
        <v>19</v>
      </c>
      <c r="AB174" s="1"/>
      <c r="AC174" s="1" t="s">
        <v>19</v>
      </c>
      <c r="AD174" s="1" t="s">
        <v>19</v>
      </c>
      <c r="AE174" s="1" t="s">
        <v>19</v>
      </c>
      <c r="AF174" s="1" t="s">
        <v>19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>
        <v>4.0</v>
      </c>
      <c r="AQ174" s="1">
        <v>34813.86719</v>
      </c>
      <c r="AR174" s="1">
        <v>84.28700256</v>
      </c>
      <c r="AS174" s="5">
        <v>100.0</v>
      </c>
      <c r="AT174" s="5">
        <v>0.0</v>
      </c>
      <c r="AU174" s="5">
        <v>0.0</v>
      </c>
      <c r="AV174" s="5">
        <v>0.0</v>
      </c>
    </row>
    <row r="175">
      <c r="A175" s="1" t="s">
        <v>192</v>
      </c>
      <c r="B175" s="1">
        <v>2.0</v>
      </c>
      <c r="C175" s="1">
        <v>36910.55859</v>
      </c>
      <c r="D175" s="1">
        <f t="shared" si="4"/>
        <v>37000000</v>
      </c>
      <c r="E175" s="2">
        <f t="shared" si="1"/>
        <v>36.46800232</v>
      </c>
      <c r="F175" s="1">
        <v>63.53199768</v>
      </c>
      <c r="G175" s="4">
        <f t="shared" si="2"/>
        <v>23450.01523</v>
      </c>
      <c r="R175" s="5">
        <v>90.40234468</v>
      </c>
      <c r="S175" s="5">
        <f t="shared" si="5"/>
        <v>90</v>
      </c>
      <c r="T175" s="5">
        <v>5.263549601</v>
      </c>
      <c r="U175" s="5">
        <v>2.8776725</v>
      </c>
      <c r="V175" s="5">
        <v>1.456433219</v>
      </c>
      <c r="W175" s="5"/>
      <c r="X175" s="1">
        <v>77.34612896</v>
      </c>
      <c r="Y175" s="1">
        <v>12.03707816</v>
      </c>
      <c r="Z175" s="1">
        <v>6.623063373</v>
      </c>
      <c r="AA175" s="1">
        <v>3.993729502</v>
      </c>
      <c r="AB175" s="1"/>
      <c r="AC175" s="1">
        <v>97.89674601</v>
      </c>
      <c r="AD175" s="1">
        <v>1.375477117</v>
      </c>
      <c r="AE175" s="1">
        <v>0.7277768759</v>
      </c>
      <c r="AF175" s="1">
        <v>0.0</v>
      </c>
      <c r="AG175" s="1"/>
      <c r="AH175" s="1"/>
      <c r="AI175" s="1"/>
      <c r="AJ175" s="1"/>
      <c r="AK175" s="1"/>
      <c r="AL175" s="1"/>
      <c r="AM175" s="1"/>
      <c r="AN175" s="1"/>
      <c r="AO175" s="1"/>
      <c r="AP175" s="1">
        <v>2.0</v>
      </c>
      <c r="AQ175" s="1">
        <v>36910.55859</v>
      </c>
      <c r="AR175" s="1">
        <v>63.53199768</v>
      </c>
      <c r="AS175" s="5">
        <v>90.40234468</v>
      </c>
      <c r="AT175" s="5">
        <v>5.263549601</v>
      </c>
      <c r="AU175" s="5">
        <v>2.8776725</v>
      </c>
      <c r="AV175" s="5">
        <v>1.456433219</v>
      </c>
    </row>
    <row r="176">
      <c r="A176" s="1" t="s">
        <v>193</v>
      </c>
      <c r="B176" s="1">
        <v>4.0</v>
      </c>
      <c r="C176" s="1">
        <v>37742.15625</v>
      </c>
      <c r="D176" s="1">
        <f t="shared" si="4"/>
        <v>38000000</v>
      </c>
      <c r="E176" s="2">
        <f t="shared" si="1"/>
        <v>18.43799591</v>
      </c>
      <c r="F176" s="1">
        <v>81.56200409</v>
      </c>
      <c r="G176" s="4">
        <f t="shared" si="2"/>
        <v>30783.25902</v>
      </c>
      <c r="R176" s="5">
        <v>99.22181066</v>
      </c>
      <c r="S176" s="5">
        <f t="shared" si="5"/>
        <v>99</v>
      </c>
      <c r="T176" s="5">
        <v>0.0</v>
      </c>
      <c r="U176" s="5">
        <v>0.7781893369</v>
      </c>
      <c r="V176" s="5">
        <v>0.0</v>
      </c>
      <c r="W176" s="5"/>
      <c r="X176" s="1">
        <v>99.0604959</v>
      </c>
      <c r="Y176" s="1">
        <v>0.0</v>
      </c>
      <c r="Z176" s="1">
        <v>0.9395041006</v>
      </c>
      <c r="AA176" s="1">
        <v>0.0</v>
      </c>
      <c r="AB176" s="1"/>
      <c r="AC176" s="1">
        <v>99.25827766</v>
      </c>
      <c r="AD176" s="1">
        <v>0.0</v>
      </c>
      <c r="AE176" s="1">
        <v>0.7417223371</v>
      </c>
      <c r="AF176" s="1">
        <v>0.0</v>
      </c>
      <c r="AG176" s="1"/>
      <c r="AH176" s="1"/>
      <c r="AI176" s="1"/>
      <c r="AJ176" s="1"/>
      <c r="AK176" s="1"/>
      <c r="AL176" s="1"/>
      <c r="AM176" s="1"/>
      <c r="AN176" s="1"/>
      <c r="AO176" s="1"/>
      <c r="AP176" s="1">
        <v>4.0</v>
      </c>
      <c r="AQ176" s="1">
        <v>37742.15625</v>
      </c>
      <c r="AR176" s="1">
        <v>81.56200409</v>
      </c>
      <c r="AS176" s="5">
        <v>99.22181066</v>
      </c>
      <c r="AT176" s="5">
        <v>0.0</v>
      </c>
      <c r="AU176" s="5">
        <v>0.7781893369</v>
      </c>
      <c r="AV176" s="5">
        <v>0.0</v>
      </c>
    </row>
    <row r="177">
      <c r="A177" s="1" t="s">
        <v>194</v>
      </c>
      <c r="B177" s="1">
        <v>4.0</v>
      </c>
      <c r="C177" s="1">
        <v>37846.60547</v>
      </c>
      <c r="D177" s="1">
        <f t="shared" si="4"/>
        <v>38000000</v>
      </c>
      <c r="E177" s="2">
        <f t="shared" si="1"/>
        <v>39.95699692</v>
      </c>
      <c r="F177" s="1">
        <v>60.04300308</v>
      </c>
      <c r="G177" s="4">
        <f t="shared" si="2"/>
        <v>22724.23849</v>
      </c>
      <c r="R177" s="5">
        <v>99.96659155</v>
      </c>
      <c r="S177" s="5">
        <f t="shared" si="5"/>
        <v>100</v>
      </c>
      <c r="T177" s="5">
        <v>0.0</v>
      </c>
      <c r="U177" s="5">
        <v>0.03340844529</v>
      </c>
      <c r="V177" s="5">
        <v>0.0</v>
      </c>
      <c r="W177" s="5"/>
      <c r="X177" s="1">
        <v>100.0</v>
      </c>
      <c r="Y177" s="1">
        <v>0.0</v>
      </c>
      <c r="Z177" s="1">
        <v>0.0</v>
      </c>
      <c r="AA177" s="1">
        <v>0.0</v>
      </c>
      <c r="AB177" s="1"/>
      <c r="AC177" s="1">
        <v>99.94435484</v>
      </c>
      <c r="AD177" s="1">
        <v>0.0</v>
      </c>
      <c r="AE177" s="1">
        <v>0.05564516129</v>
      </c>
      <c r="AF177" s="1">
        <v>0.0</v>
      </c>
      <c r="AG177" s="1"/>
      <c r="AH177" s="1"/>
      <c r="AI177" s="1"/>
      <c r="AJ177" s="1"/>
      <c r="AK177" s="1"/>
      <c r="AL177" s="1"/>
      <c r="AM177" s="1"/>
      <c r="AN177" s="1"/>
      <c r="AO177" s="1"/>
      <c r="AP177" s="1">
        <v>4.0</v>
      </c>
      <c r="AQ177" s="1">
        <v>37846.60547</v>
      </c>
      <c r="AR177" s="1">
        <v>60.04300308</v>
      </c>
      <c r="AS177" s="5">
        <v>99.96659155</v>
      </c>
      <c r="AT177" s="5">
        <v>0.0</v>
      </c>
      <c r="AU177" s="5">
        <v>0.03340844529</v>
      </c>
      <c r="AV177" s="5">
        <v>0.0</v>
      </c>
    </row>
    <row r="178">
      <c r="A178" s="1" t="s">
        <v>195</v>
      </c>
      <c r="B178" s="1">
        <v>1.0</v>
      </c>
      <c r="C178" s="1">
        <v>38928.33984</v>
      </c>
      <c r="D178" s="1">
        <f t="shared" si="4"/>
        <v>39000000</v>
      </c>
      <c r="E178" s="2">
        <f t="shared" si="1"/>
        <v>73.97400093</v>
      </c>
      <c r="F178" s="1">
        <v>26.02599907</v>
      </c>
      <c r="G178" s="4">
        <f t="shared" si="2"/>
        <v>10131.48936</v>
      </c>
      <c r="R178" s="5">
        <v>75.09141325</v>
      </c>
      <c r="S178" s="5">
        <f t="shared" si="5"/>
        <v>75</v>
      </c>
      <c r="T178" s="5">
        <v>1.447541688</v>
      </c>
      <c r="U178" s="5">
        <v>14.56026288</v>
      </c>
      <c r="V178" s="5">
        <v>8.900782174</v>
      </c>
      <c r="W178" s="5"/>
      <c r="X178" s="1">
        <v>66.32791521</v>
      </c>
      <c r="Y178" s="1">
        <v>1.956824851</v>
      </c>
      <c r="Z178" s="1">
        <v>19.68294895</v>
      </c>
      <c r="AA178" s="1">
        <v>12.03231098</v>
      </c>
      <c r="AB178" s="1"/>
      <c r="AC178" s="1">
        <v>100.0</v>
      </c>
      <c r="AD178" s="1">
        <v>0.0</v>
      </c>
      <c r="AE178" s="1">
        <v>0.0</v>
      </c>
      <c r="AF178" s="1">
        <v>0.0</v>
      </c>
      <c r="AG178" s="1"/>
      <c r="AH178" s="1"/>
      <c r="AI178" s="1"/>
      <c r="AJ178" s="1"/>
      <c r="AK178" s="1"/>
      <c r="AL178" s="1"/>
      <c r="AM178" s="1"/>
      <c r="AN178" s="1"/>
      <c r="AO178" s="1"/>
      <c r="AP178" s="1">
        <v>1.0</v>
      </c>
      <c r="AQ178" s="1">
        <v>38928.33984</v>
      </c>
      <c r="AR178" s="1">
        <v>26.02599907</v>
      </c>
      <c r="AS178" s="5">
        <v>75.09141325</v>
      </c>
      <c r="AT178" s="5">
        <v>1.447541688</v>
      </c>
      <c r="AU178" s="5">
        <v>14.56026288</v>
      </c>
      <c r="AV178" s="5">
        <v>8.900782174</v>
      </c>
    </row>
    <row r="179">
      <c r="A179" s="1" t="s">
        <v>196</v>
      </c>
      <c r="B179" s="1">
        <v>3.0</v>
      </c>
      <c r="C179" s="1">
        <v>40222.50391</v>
      </c>
      <c r="D179" s="1">
        <f t="shared" si="4"/>
        <v>41000000</v>
      </c>
      <c r="E179" s="2">
        <f t="shared" si="1"/>
        <v>29.10700226</v>
      </c>
      <c r="F179" s="1">
        <v>70.89299774</v>
      </c>
      <c r="G179" s="4">
        <f t="shared" si="2"/>
        <v>28514.93879</v>
      </c>
      <c r="R179" s="5">
        <v>98.35990325</v>
      </c>
      <c r="S179" s="5">
        <f t="shared" si="5"/>
        <v>98</v>
      </c>
      <c r="T179" s="5">
        <v>0.8921603495</v>
      </c>
      <c r="U179" s="5">
        <v>2.427900808E-6</v>
      </c>
      <c r="V179" s="5">
        <v>0.7479339713</v>
      </c>
      <c r="W179" s="5"/>
      <c r="X179" s="1">
        <v>94.83114678</v>
      </c>
      <c r="Y179" s="1">
        <v>2.599251339</v>
      </c>
      <c r="Z179" s="1">
        <v>0.0</v>
      </c>
      <c r="AA179" s="1">
        <v>2.569601877</v>
      </c>
      <c r="AB179" s="1"/>
      <c r="AC179" s="1">
        <v>99.80873103</v>
      </c>
      <c r="AD179" s="1">
        <v>0.19126897</v>
      </c>
      <c r="AE179" s="1">
        <v>0.0</v>
      </c>
      <c r="AF179" s="1">
        <v>0.0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>
        <v>3.0</v>
      </c>
      <c r="AQ179" s="1">
        <v>40222.50391</v>
      </c>
      <c r="AR179" s="1">
        <v>70.89299774</v>
      </c>
      <c r="AS179" s="5">
        <v>98.35990325</v>
      </c>
      <c r="AT179" s="5">
        <v>0.8921603495</v>
      </c>
      <c r="AU179" s="5">
        <v>2.427900808E-6</v>
      </c>
      <c r="AV179" s="5">
        <v>0.7479339713</v>
      </c>
    </row>
    <row r="180">
      <c r="A180" s="1" t="s">
        <v>197</v>
      </c>
      <c r="B180" s="1">
        <v>2.0</v>
      </c>
      <c r="C180" s="1">
        <v>43733.75781</v>
      </c>
      <c r="D180" s="1">
        <f t="shared" si="4"/>
        <v>44000000</v>
      </c>
      <c r="E180" s="2">
        <f t="shared" si="1"/>
        <v>30.39199829</v>
      </c>
      <c r="F180" s="1">
        <v>69.60800171</v>
      </c>
      <c r="G180" s="4">
        <f t="shared" si="2"/>
        <v>30442.19488</v>
      </c>
      <c r="R180" s="5">
        <v>93.92828195</v>
      </c>
      <c r="S180" s="5">
        <f t="shared" si="5"/>
        <v>94</v>
      </c>
      <c r="T180" s="5">
        <v>5.671978717</v>
      </c>
      <c r="U180" s="5">
        <v>0.07590450129</v>
      </c>
      <c r="V180" s="5">
        <v>0.323834836</v>
      </c>
      <c r="W180" s="5"/>
      <c r="X180" s="1">
        <v>100.0</v>
      </c>
      <c r="Y180" s="1">
        <v>0.0</v>
      </c>
      <c r="Z180" s="1">
        <v>0.0</v>
      </c>
      <c r="AA180" s="1">
        <v>0.0</v>
      </c>
      <c r="AB180" s="1"/>
      <c r="AC180" s="1">
        <v>91.27727011</v>
      </c>
      <c r="AD180" s="1">
        <v>8.14845779</v>
      </c>
      <c r="AE180" s="1">
        <v>0.1090456533</v>
      </c>
      <c r="AF180" s="1">
        <v>0.4652264446</v>
      </c>
      <c r="AG180" s="1"/>
      <c r="AH180" s="1"/>
      <c r="AI180" s="1"/>
      <c r="AJ180" s="1"/>
      <c r="AK180" s="1"/>
      <c r="AL180" s="1"/>
      <c r="AM180" s="1"/>
      <c r="AN180" s="1"/>
      <c r="AO180" s="1"/>
      <c r="AP180" s="1">
        <v>2.0</v>
      </c>
      <c r="AQ180" s="1">
        <v>43733.75781</v>
      </c>
      <c r="AR180" s="1">
        <v>69.60800171</v>
      </c>
      <c r="AS180" s="5">
        <v>93.92828195</v>
      </c>
      <c r="AT180" s="5">
        <v>5.671978717</v>
      </c>
      <c r="AU180" s="5">
        <v>0.07590450129</v>
      </c>
      <c r="AV180" s="5">
        <v>0.323834836</v>
      </c>
    </row>
    <row r="181">
      <c r="A181" s="1" t="s">
        <v>198</v>
      </c>
      <c r="B181" s="1">
        <v>1.0</v>
      </c>
      <c r="C181" s="1">
        <v>43849.26953</v>
      </c>
      <c r="D181" s="1">
        <f t="shared" si="4"/>
        <v>44000000</v>
      </c>
      <c r="E181" s="2">
        <f t="shared" si="1"/>
        <v>64.74700165</v>
      </c>
      <c r="F181" s="1">
        <v>35.25299835</v>
      </c>
      <c r="G181" s="4">
        <f t="shared" si="2"/>
        <v>15458.18226</v>
      </c>
      <c r="R181" s="5">
        <v>60.4486756</v>
      </c>
      <c r="S181" s="5">
        <f t="shared" si="5"/>
        <v>60</v>
      </c>
      <c r="T181" s="5">
        <v>26.67001975</v>
      </c>
      <c r="U181" s="5">
        <v>3.650217875</v>
      </c>
      <c r="V181" s="5">
        <v>9.231086774</v>
      </c>
      <c r="W181" s="5"/>
      <c r="X181" s="1">
        <v>53.19902707</v>
      </c>
      <c r="Y181" s="1">
        <v>27.45764451</v>
      </c>
      <c r="Z181" s="1">
        <v>5.637660008</v>
      </c>
      <c r="AA181" s="1">
        <v>13.70566842</v>
      </c>
      <c r="AB181" s="1"/>
      <c r="AC181" s="1">
        <v>73.76365956</v>
      </c>
      <c r="AD181" s="1">
        <v>25.22343986</v>
      </c>
      <c r="AE181" s="1">
        <v>0.0</v>
      </c>
      <c r="AF181" s="1">
        <v>1.012900581</v>
      </c>
      <c r="AG181" s="1"/>
      <c r="AH181" s="1"/>
      <c r="AI181" s="1"/>
      <c r="AJ181" s="1"/>
      <c r="AK181" s="1"/>
      <c r="AL181" s="1"/>
      <c r="AM181" s="1"/>
      <c r="AN181" s="1"/>
      <c r="AO181" s="1"/>
      <c r="AP181" s="1">
        <v>1.0</v>
      </c>
      <c r="AQ181" s="1">
        <v>43849.26953</v>
      </c>
      <c r="AR181" s="1">
        <v>35.25299835</v>
      </c>
      <c r="AS181" s="5">
        <v>60.4486756</v>
      </c>
      <c r="AT181" s="5">
        <v>26.67001975</v>
      </c>
      <c r="AU181" s="5">
        <v>3.650217875</v>
      </c>
      <c r="AV181" s="5">
        <v>9.231086774</v>
      </c>
    </row>
    <row r="182">
      <c r="A182" s="1" t="s">
        <v>199</v>
      </c>
      <c r="B182" s="1">
        <v>2.0</v>
      </c>
      <c r="C182" s="1">
        <v>43851.04297</v>
      </c>
      <c r="D182" s="1">
        <f t="shared" si="4"/>
        <v>44000000</v>
      </c>
      <c r="E182" s="2">
        <f t="shared" si="1"/>
        <v>26.26699829</v>
      </c>
      <c r="F182" s="1">
        <v>73.73300171</v>
      </c>
      <c r="G182" s="4">
        <f t="shared" si="2"/>
        <v>32332.69026</v>
      </c>
      <c r="R182" s="5">
        <v>94.43732996</v>
      </c>
      <c r="S182" s="5">
        <f t="shared" si="5"/>
        <v>94</v>
      </c>
      <c r="T182" s="5">
        <v>4.985880842</v>
      </c>
      <c r="U182" s="5">
        <v>0.5318366638</v>
      </c>
      <c r="V182" s="5">
        <v>0.04495253272</v>
      </c>
      <c r="W182" s="5"/>
      <c r="X182" s="1">
        <v>90.03753791</v>
      </c>
      <c r="Y182" s="1">
        <v>8.79672214</v>
      </c>
      <c r="Z182" s="1">
        <v>0.9946030281</v>
      </c>
      <c r="AA182" s="1">
        <v>0.1711369258</v>
      </c>
      <c r="AB182" s="1"/>
      <c r="AC182" s="1">
        <v>96.00473586</v>
      </c>
      <c r="AD182" s="1">
        <v>3.628288591</v>
      </c>
      <c r="AE182" s="1">
        <v>0.3669755478</v>
      </c>
      <c r="AF182" s="1">
        <v>0.0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>
        <v>2.0</v>
      </c>
      <c r="AQ182" s="1">
        <v>43851.04297</v>
      </c>
      <c r="AR182" s="1">
        <v>73.73300171</v>
      </c>
      <c r="AS182" s="5">
        <v>94.43732996</v>
      </c>
      <c r="AT182" s="5">
        <v>4.985880842</v>
      </c>
      <c r="AU182" s="5">
        <v>0.5318366638</v>
      </c>
      <c r="AV182" s="5">
        <v>0.04495253272</v>
      </c>
    </row>
    <row r="183">
      <c r="A183" s="1" t="s">
        <v>200</v>
      </c>
      <c r="B183" s="1">
        <v>3.0</v>
      </c>
      <c r="C183" s="1">
        <v>45195.77734</v>
      </c>
      <c r="D183" s="1">
        <f t="shared" si="4"/>
        <v>46000000</v>
      </c>
      <c r="E183" s="2">
        <f t="shared" si="1"/>
        <v>7.88899994</v>
      </c>
      <c r="F183" s="1">
        <v>92.11100006</v>
      </c>
      <c r="G183" s="4">
        <f t="shared" si="2"/>
        <v>41630.28249</v>
      </c>
      <c r="R183" s="7" t="s">
        <v>19</v>
      </c>
      <c r="S183" s="8" t="s">
        <v>19</v>
      </c>
      <c r="T183" s="7" t="s">
        <v>19</v>
      </c>
      <c r="U183" s="7" t="s">
        <v>19</v>
      </c>
      <c r="V183" s="7" t="s">
        <v>19</v>
      </c>
      <c r="W183" s="7"/>
      <c r="X183" s="1" t="s">
        <v>19</v>
      </c>
      <c r="Y183" s="1" t="s">
        <v>19</v>
      </c>
      <c r="Z183" s="1" t="s">
        <v>19</v>
      </c>
      <c r="AA183" s="1" t="s">
        <v>19</v>
      </c>
      <c r="AB183" s="1"/>
      <c r="AC183" s="1">
        <v>99.79042065</v>
      </c>
      <c r="AD183" s="1">
        <v>0.0</v>
      </c>
      <c r="AE183" s="1">
        <v>0.2095793501</v>
      </c>
      <c r="AF183" s="1">
        <v>0.0</v>
      </c>
      <c r="AG183" s="1"/>
      <c r="AH183" s="1"/>
      <c r="AI183" s="1"/>
      <c r="AJ183" s="1"/>
      <c r="AK183" s="1"/>
      <c r="AL183" s="1"/>
      <c r="AM183" s="1"/>
      <c r="AN183" s="1"/>
      <c r="AO183" s="1"/>
      <c r="AP183" s="1">
        <v>3.0</v>
      </c>
      <c r="AQ183" s="1">
        <v>45195.77734</v>
      </c>
      <c r="AR183" s="1">
        <v>92.11100006</v>
      </c>
      <c r="AS183" s="7" t="s">
        <v>19</v>
      </c>
      <c r="AT183" s="7" t="s">
        <v>19</v>
      </c>
      <c r="AU183" s="7" t="s">
        <v>19</v>
      </c>
      <c r="AV183" s="7" t="s">
        <v>19</v>
      </c>
    </row>
    <row r="184">
      <c r="A184" s="1" t="s">
        <v>201</v>
      </c>
      <c r="B184" s="1">
        <v>1.0</v>
      </c>
      <c r="C184" s="1">
        <v>45741.0</v>
      </c>
      <c r="D184" s="1">
        <f t="shared" si="4"/>
        <v>46000000</v>
      </c>
      <c r="E184" s="2">
        <f t="shared" si="1"/>
        <v>75.04599953</v>
      </c>
      <c r="F184" s="1">
        <v>24.95400047</v>
      </c>
      <c r="G184" s="4">
        <f t="shared" si="2"/>
        <v>11414.20935</v>
      </c>
      <c r="R184" s="5">
        <v>55.85504921</v>
      </c>
      <c r="S184" s="5">
        <f t="shared" ref="S184:S208" si="6">ROUND(R184,0)</f>
        <v>56</v>
      </c>
      <c r="T184" s="5">
        <v>27.28286</v>
      </c>
      <c r="U184" s="5">
        <v>12.16590654</v>
      </c>
      <c r="V184" s="5">
        <v>4.696184252</v>
      </c>
      <c r="W184" s="5"/>
      <c r="X184" s="1">
        <v>48.23118958</v>
      </c>
      <c r="Y184" s="1">
        <v>31.78469426</v>
      </c>
      <c r="Z184" s="1">
        <v>14.07616061</v>
      </c>
      <c r="AA184" s="1">
        <v>5.907955546</v>
      </c>
      <c r="AB184" s="1"/>
      <c r="AC184" s="1">
        <v>78.7828518</v>
      </c>
      <c r="AD184" s="1">
        <v>13.74416783</v>
      </c>
      <c r="AE184" s="1">
        <v>6.421044133</v>
      </c>
      <c r="AF184" s="1">
        <v>1.051936238</v>
      </c>
      <c r="AG184" s="1"/>
      <c r="AH184" s="1"/>
      <c r="AI184" s="1"/>
      <c r="AJ184" s="1"/>
      <c r="AK184" s="1"/>
      <c r="AL184" s="1"/>
      <c r="AM184" s="1"/>
      <c r="AN184" s="1"/>
      <c r="AO184" s="1"/>
      <c r="AP184" s="1">
        <v>1.0</v>
      </c>
      <c r="AQ184" s="1">
        <v>45741.0</v>
      </c>
      <c r="AR184" s="1">
        <v>24.95400047</v>
      </c>
      <c r="AS184" s="5">
        <v>55.85504921</v>
      </c>
      <c r="AT184" s="5">
        <v>27.28286</v>
      </c>
      <c r="AU184" s="5">
        <v>12.16590654</v>
      </c>
      <c r="AV184" s="5">
        <v>4.696184252</v>
      </c>
    </row>
    <row r="185">
      <c r="A185" s="1" t="s">
        <v>202</v>
      </c>
      <c r="B185" s="1">
        <v>4.0</v>
      </c>
      <c r="C185" s="1">
        <v>46754.78125</v>
      </c>
      <c r="D185" s="1">
        <f t="shared" si="4"/>
        <v>47000000</v>
      </c>
      <c r="E185" s="2">
        <f t="shared" si="1"/>
        <v>19.19000244</v>
      </c>
      <c r="F185" s="1">
        <v>80.80999756</v>
      </c>
      <c r="G185" s="4">
        <f t="shared" si="2"/>
        <v>37782.53759</v>
      </c>
      <c r="R185" s="5">
        <v>99.92561261</v>
      </c>
      <c r="S185" s="5">
        <f t="shared" si="6"/>
        <v>100</v>
      </c>
      <c r="T185" s="5">
        <v>0.0</v>
      </c>
      <c r="U185" s="5">
        <v>0.07438739142</v>
      </c>
      <c r="V185" s="5">
        <v>0.0</v>
      </c>
      <c r="W185" s="5"/>
      <c r="X185" s="1">
        <v>100.0</v>
      </c>
      <c r="Y185" s="1">
        <v>0.0</v>
      </c>
      <c r="Z185" s="1">
        <v>0.0</v>
      </c>
      <c r="AA185" s="1">
        <v>0.0</v>
      </c>
      <c r="AB185" s="1"/>
      <c r="AC185" s="1">
        <v>99.90794521</v>
      </c>
      <c r="AD185" s="1">
        <v>0.0</v>
      </c>
      <c r="AE185" s="1">
        <v>0.09205479452</v>
      </c>
      <c r="AF185" s="1">
        <v>0.0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>
        <v>4.0</v>
      </c>
      <c r="AQ185" s="1">
        <v>46754.78125</v>
      </c>
      <c r="AR185" s="1">
        <v>80.80999756</v>
      </c>
      <c r="AS185" s="5">
        <v>99.92561261</v>
      </c>
      <c r="AT185" s="5">
        <v>0.0</v>
      </c>
      <c r="AU185" s="5">
        <v>0.07438739142</v>
      </c>
      <c r="AV185" s="5">
        <v>0.0</v>
      </c>
    </row>
    <row r="186">
      <c r="A186" s="1" t="s">
        <v>203</v>
      </c>
      <c r="B186" s="1">
        <v>3.0</v>
      </c>
      <c r="C186" s="1">
        <v>50882.88281</v>
      </c>
      <c r="D186" s="1">
        <f t="shared" si="4"/>
        <v>51000000</v>
      </c>
      <c r="E186" s="2">
        <f t="shared" si="1"/>
        <v>18.57500458</v>
      </c>
      <c r="F186" s="1">
        <v>81.42499542</v>
      </c>
      <c r="G186" s="4">
        <f t="shared" si="2"/>
        <v>41431.385</v>
      </c>
      <c r="R186" s="5">
        <v>97.49165711</v>
      </c>
      <c r="S186" s="5">
        <f t="shared" si="6"/>
        <v>97</v>
      </c>
      <c r="T186" s="5">
        <v>0.1861521591</v>
      </c>
      <c r="U186" s="5">
        <v>0.9536162228</v>
      </c>
      <c r="V186" s="5">
        <v>1.368574512</v>
      </c>
      <c r="W186" s="5"/>
      <c r="X186" s="1">
        <v>86.76707282</v>
      </c>
      <c r="Y186" s="1">
        <v>0.7312282016</v>
      </c>
      <c r="Z186" s="1">
        <v>5.13386897</v>
      </c>
      <c r="AA186" s="1">
        <v>7.367830005</v>
      </c>
      <c r="AB186" s="1"/>
      <c r="AC186" s="1">
        <v>99.9381928</v>
      </c>
      <c r="AD186" s="1">
        <v>0.0618072</v>
      </c>
      <c r="AE186" s="1">
        <v>0.0</v>
      </c>
      <c r="AF186" s="1">
        <v>0.0</v>
      </c>
      <c r="AG186" s="1"/>
      <c r="AH186" s="1"/>
      <c r="AI186" s="1"/>
      <c r="AJ186" s="1"/>
      <c r="AK186" s="1"/>
      <c r="AL186" s="1"/>
      <c r="AM186" s="1"/>
      <c r="AN186" s="1"/>
      <c r="AO186" s="1"/>
      <c r="AP186" s="1">
        <v>3.0</v>
      </c>
      <c r="AQ186" s="1">
        <v>50882.88281</v>
      </c>
      <c r="AR186" s="1">
        <v>81.42499542</v>
      </c>
      <c r="AS186" s="5">
        <v>97.49165711</v>
      </c>
      <c r="AT186" s="5">
        <v>0.1861521591</v>
      </c>
      <c r="AU186" s="5">
        <v>0.9536162228</v>
      </c>
      <c r="AV186" s="5">
        <v>1.368574512</v>
      </c>
    </row>
    <row r="187">
      <c r="A187" s="1" t="s">
        <v>204</v>
      </c>
      <c r="B187" s="1">
        <v>4.0</v>
      </c>
      <c r="C187" s="1">
        <v>51269.18359</v>
      </c>
      <c r="D187" s="1">
        <f t="shared" si="4"/>
        <v>52000000</v>
      </c>
      <c r="E187" s="2">
        <f t="shared" si="1"/>
        <v>18.58599854</v>
      </c>
      <c r="F187" s="1">
        <v>81.41400146</v>
      </c>
      <c r="G187" s="4">
        <f t="shared" si="2"/>
        <v>41740.29388</v>
      </c>
      <c r="R187" s="5">
        <v>99.93139665</v>
      </c>
      <c r="S187" s="5">
        <f t="shared" si="6"/>
        <v>100</v>
      </c>
      <c r="T187" s="5">
        <v>0.0</v>
      </c>
      <c r="U187" s="5">
        <v>0.06860335296</v>
      </c>
      <c r="V187" s="5">
        <v>0.0</v>
      </c>
      <c r="W187" s="5"/>
      <c r="X187" s="1" t="s">
        <v>19</v>
      </c>
      <c r="Y187" s="1" t="s">
        <v>19</v>
      </c>
      <c r="Z187" s="1" t="s">
        <v>19</v>
      </c>
      <c r="AA187" s="1" t="s">
        <v>19</v>
      </c>
      <c r="AB187" s="1"/>
      <c r="AC187" s="1" t="s">
        <v>19</v>
      </c>
      <c r="AD187" s="1" t="s">
        <v>19</v>
      </c>
      <c r="AE187" s="1" t="s">
        <v>19</v>
      </c>
      <c r="AF187" s="1" t="s">
        <v>19</v>
      </c>
      <c r="AG187" s="1"/>
      <c r="AH187" s="1"/>
      <c r="AI187" s="1"/>
      <c r="AJ187" s="1"/>
      <c r="AK187" s="1"/>
      <c r="AL187" s="1"/>
      <c r="AM187" s="1"/>
      <c r="AN187" s="1"/>
      <c r="AO187" s="1"/>
      <c r="AP187" s="1">
        <v>4.0</v>
      </c>
      <c r="AQ187" s="1">
        <v>51269.18359</v>
      </c>
      <c r="AR187" s="1">
        <v>81.41400146</v>
      </c>
      <c r="AS187" s="5">
        <v>99.93139665</v>
      </c>
      <c r="AT187" s="5">
        <v>0.0</v>
      </c>
      <c r="AU187" s="5">
        <v>0.06860335296</v>
      </c>
      <c r="AV187" s="5">
        <v>0.0</v>
      </c>
    </row>
    <row r="188">
      <c r="A188" s="1" t="s">
        <v>205</v>
      </c>
      <c r="B188" s="1">
        <v>2.0</v>
      </c>
      <c r="C188" s="1">
        <v>53771.30078</v>
      </c>
      <c r="D188" s="1">
        <f t="shared" si="4"/>
        <v>54000000</v>
      </c>
      <c r="E188" s="2">
        <f t="shared" si="1"/>
        <v>72.00500107</v>
      </c>
      <c r="F188" s="1">
        <v>27.99499893</v>
      </c>
      <c r="G188" s="4">
        <f t="shared" si="2"/>
        <v>15053.27508</v>
      </c>
      <c r="R188" s="5">
        <v>61.63289158</v>
      </c>
      <c r="S188" s="5">
        <f t="shared" si="6"/>
        <v>62</v>
      </c>
      <c r="T188" s="5">
        <v>9.54187005</v>
      </c>
      <c r="U188" s="5">
        <v>9.780087524</v>
      </c>
      <c r="V188" s="5">
        <v>19.04515084</v>
      </c>
      <c r="W188" s="5"/>
      <c r="X188" s="1">
        <v>51.77997893</v>
      </c>
      <c r="Y188" s="1">
        <v>11.56900419</v>
      </c>
      <c r="Z188" s="1">
        <v>12.51911322</v>
      </c>
      <c r="AA188" s="1">
        <v>24.13190366</v>
      </c>
      <c r="AB188" s="1"/>
      <c r="AC188" s="1">
        <v>86.97523145</v>
      </c>
      <c r="AD188" s="1">
        <v>4.327944725</v>
      </c>
      <c r="AE188" s="1">
        <v>2.73514263</v>
      </c>
      <c r="AF188" s="1">
        <v>5.961681193</v>
      </c>
      <c r="AG188" s="1"/>
      <c r="AH188" s="1"/>
      <c r="AI188" s="1"/>
      <c r="AJ188" s="1"/>
      <c r="AK188" s="1"/>
      <c r="AL188" s="1"/>
      <c r="AM188" s="1"/>
      <c r="AN188" s="1"/>
      <c r="AO188" s="1"/>
      <c r="AP188" s="1">
        <v>2.0</v>
      </c>
      <c r="AQ188" s="1">
        <v>53771.30078</v>
      </c>
      <c r="AR188" s="1">
        <v>27.99499893</v>
      </c>
      <c r="AS188" s="5">
        <v>61.63289158</v>
      </c>
      <c r="AT188" s="5">
        <v>9.54187005</v>
      </c>
      <c r="AU188" s="5">
        <v>9.780087524</v>
      </c>
      <c r="AV188" s="5">
        <v>19.04515084</v>
      </c>
    </row>
    <row r="189">
      <c r="A189" s="1" t="s">
        <v>206</v>
      </c>
      <c r="B189" s="1">
        <v>2.0</v>
      </c>
      <c r="C189" s="1">
        <v>54409.79297</v>
      </c>
      <c r="D189" s="1">
        <f t="shared" si="4"/>
        <v>55000000</v>
      </c>
      <c r="E189" s="2">
        <f t="shared" si="1"/>
        <v>68.85899925</v>
      </c>
      <c r="F189" s="1">
        <v>31.14100075</v>
      </c>
      <c r="G189" s="4">
        <f t="shared" si="2"/>
        <v>16943.75404</v>
      </c>
      <c r="R189" s="5">
        <v>83.71819191</v>
      </c>
      <c r="S189" s="5">
        <f t="shared" si="6"/>
        <v>84</v>
      </c>
      <c r="T189" s="5">
        <v>1.595436949</v>
      </c>
      <c r="U189" s="5">
        <v>5.10942478</v>
      </c>
      <c r="V189" s="5">
        <v>9.576946362</v>
      </c>
      <c r="W189" s="5"/>
      <c r="X189" s="1">
        <v>78.42256469</v>
      </c>
      <c r="Y189" s="1">
        <v>2.316962142</v>
      </c>
      <c r="Z189" s="1">
        <v>6.592393694</v>
      </c>
      <c r="AA189" s="1">
        <v>12.66807947</v>
      </c>
      <c r="AB189" s="1"/>
      <c r="AC189" s="1">
        <v>95.42788606</v>
      </c>
      <c r="AD189" s="1">
        <v>0.0</v>
      </c>
      <c r="AE189" s="1">
        <v>1.830283006</v>
      </c>
      <c r="AF189" s="1">
        <v>2.741830931</v>
      </c>
      <c r="AG189" s="1"/>
      <c r="AH189" s="1"/>
      <c r="AI189" s="1"/>
      <c r="AJ189" s="1"/>
      <c r="AK189" s="1"/>
      <c r="AL189" s="1"/>
      <c r="AM189" s="1"/>
      <c r="AN189" s="1"/>
      <c r="AO189" s="1"/>
      <c r="AP189" s="1">
        <v>2.0</v>
      </c>
      <c r="AQ189" s="1">
        <v>54409.79297</v>
      </c>
      <c r="AR189" s="1">
        <v>31.14100075</v>
      </c>
      <c r="AS189" s="5">
        <v>83.71819191</v>
      </c>
      <c r="AT189" s="5">
        <v>1.595436949</v>
      </c>
      <c r="AU189" s="5">
        <v>5.10942478</v>
      </c>
      <c r="AV189" s="5">
        <v>9.576946362</v>
      </c>
    </row>
    <row r="190">
      <c r="A190" s="1" t="s">
        <v>207</v>
      </c>
      <c r="B190" s="1">
        <v>3.0</v>
      </c>
      <c r="C190" s="1">
        <v>59308.69141</v>
      </c>
      <c r="D190" s="1">
        <f t="shared" si="4"/>
        <v>60000000</v>
      </c>
      <c r="E190" s="2">
        <f t="shared" si="1"/>
        <v>32.64599609</v>
      </c>
      <c r="F190" s="1">
        <v>67.35400391</v>
      </c>
      <c r="G190" s="4">
        <f t="shared" si="2"/>
        <v>39946.77833</v>
      </c>
      <c r="R190" s="5">
        <v>93.88505744</v>
      </c>
      <c r="S190" s="5">
        <f t="shared" si="6"/>
        <v>94</v>
      </c>
      <c r="T190" s="5">
        <v>2.772736186</v>
      </c>
      <c r="U190" s="5">
        <v>1.410816657</v>
      </c>
      <c r="V190" s="5">
        <v>1.931389712</v>
      </c>
      <c r="W190" s="5"/>
      <c r="X190" s="1">
        <v>83.32948118</v>
      </c>
      <c r="Y190" s="1">
        <v>6.977359359</v>
      </c>
      <c r="Z190" s="1">
        <v>3.776999287</v>
      </c>
      <c r="AA190" s="1">
        <v>5.916160173</v>
      </c>
      <c r="AB190" s="1"/>
      <c r="AC190" s="1">
        <v>99.00126484</v>
      </c>
      <c r="AD190" s="1">
        <v>0.734785403</v>
      </c>
      <c r="AE190" s="1">
        <v>0.2639497547</v>
      </c>
      <c r="AF190" s="1">
        <v>0.0</v>
      </c>
      <c r="AG190" s="1"/>
      <c r="AH190" s="1"/>
      <c r="AI190" s="1"/>
      <c r="AJ190" s="1"/>
      <c r="AK190" s="1"/>
      <c r="AL190" s="1"/>
      <c r="AM190" s="1"/>
      <c r="AN190" s="1"/>
      <c r="AO190" s="1"/>
      <c r="AP190" s="1">
        <v>3.0</v>
      </c>
      <c r="AQ190" s="1">
        <v>59308.69141</v>
      </c>
      <c r="AR190" s="1">
        <v>67.35400391</v>
      </c>
      <c r="AS190" s="5">
        <v>93.88505744</v>
      </c>
      <c r="AT190" s="5">
        <v>2.772736186</v>
      </c>
      <c r="AU190" s="5">
        <v>1.410816657</v>
      </c>
      <c r="AV190" s="5">
        <v>1.931389712</v>
      </c>
    </row>
    <row r="191">
      <c r="A191" s="1" t="s">
        <v>208</v>
      </c>
      <c r="B191" s="1">
        <v>2.0</v>
      </c>
      <c r="C191" s="1">
        <v>59734.21484</v>
      </c>
      <c r="D191" s="1">
        <f t="shared" si="4"/>
        <v>60000000</v>
      </c>
      <c r="E191" s="2">
        <f t="shared" si="1"/>
        <v>64.77299881</v>
      </c>
      <c r="F191" s="1">
        <v>35.22700119</v>
      </c>
      <c r="G191" s="4">
        <f t="shared" si="2"/>
        <v>21042.57257</v>
      </c>
      <c r="R191" s="5">
        <v>60.71679759</v>
      </c>
      <c r="S191" s="5">
        <f t="shared" si="6"/>
        <v>61</v>
      </c>
      <c r="T191" s="5">
        <v>11.29007067</v>
      </c>
      <c r="U191" s="5">
        <v>14.51775136</v>
      </c>
      <c r="V191" s="5">
        <v>13.47538038</v>
      </c>
      <c r="W191" s="5"/>
      <c r="X191" s="1">
        <v>45.44696534</v>
      </c>
      <c r="Y191" s="1">
        <v>13.98368881</v>
      </c>
      <c r="Z191" s="1">
        <v>21.21996133</v>
      </c>
      <c r="AA191" s="1">
        <v>19.34938452</v>
      </c>
      <c r="AB191" s="1"/>
      <c r="AC191" s="1">
        <v>88.7939249</v>
      </c>
      <c r="AD191" s="1">
        <v>6.337231166</v>
      </c>
      <c r="AE191" s="1">
        <v>2.194178786</v>
      </c>
      <c r="AF191" s="1">
        <v>2.674665152</v>
      </c>
      <c r="AG191" s="1"/>
      <c r="AH191" s="1"/>
      <c r="AI191" s="1"/>
      <c r="AJ191" s="1"/>
      <c r="AK191" s="1"/>
      <c r="AL191" s="1"/>
      <c r="AM191" s="1"/>
      <c r="AN191" s="1"/>
      <c r="AO191" s="1"/>
      <c r="AP191" s="1">
        <v>2.0</v>
      </c>
      <c r="AQ191" s="1">
        <v>59734.21484</v>
      </c>
      <c r="AR191" s="1">
        <v>35.22700119</v>
      </c>
      <c r="AS191" s="5">
        <v>60.71679759</v>
      </c>
      <c r="AT191" s="5">
        <v>11.29007067</v>
      </c>
      <c r="AU191" s="5">
        <v>14.51775136</v>
      </c>
      <c r="AV191" s="5">
        <v>13.47538038</v>
      </c>
    </row>
    <row r="192">
      <c r="A192" s="1" t="s">
        <v>209</v>
      </c>
      <c r="B192" s="1">
        <v>4.0</v>
      </c>
      <c r="C192" s="1">
        <v>60461.82813</v>
      </c>
      <c r="D192" s="1">
        <f t="shared" si="4"/>
        <v>61000000</v>
      </c>
      <c r="E192" s="2">
        <f t="shared" si="1"/>
        <v>28.96100616</v>
      </c>
      <c r="F192" s="1">
        <v>71.03899384</v>
      </c>
      <c r="G192" s="4">
        <f t="shared" si="2"/>
        <v>42951.47436</v>
      </c>
      <c r="R192" s="5">
        <v>99.91703407</v>
      </c>
      <c r="S192" s="5">
        <f t="shared" si="6"/>
        <v>100</v>
      </c>
      <c r="T192" s="5">
        <v>0.0</v>
      </c>
      <c r="U192" s="5">
        <v>0.08296592591</v>
      </c>
      <c r="V192" s="5">
        <v>0.0</v>
      </c>
      <c r="W192" s="5"/>
      <c r="X192" s="1" t="s">
        <v>19</v>
      </c>
      <c r="Y192" s="1" t="s">
        <v>19</v>
      </c>
      <c r="Z192" s="1" t="s">
        <v>19</v>
      </c>
      <c r="AA192" s="1" t="s">
        <v>19</v>
      </c>
      <c r="AB192" s="1"/>
      <c r="AC192" s="1" t="s">
        <v>19</v>
      </c>
      <c r="AD192" s="1" t="s">
        <v>19</v>
      </c>
      <c r="AE192" s="1" t="s">
        <v>19</v>
      </c>
      <c r="AF192" s="1" t="s">
        <v>19</v>
      </c>
      <c r="AG192" s="1"/>
      <c r="AH192" s="1"/>
      <c r="AI192" s="1"/>
      <c r="AJ192" s="1"/>
      <c r="AK192" s="1"/>
      <c r="AL192" s="1"/>
      <c r="AM192" s="1"/>
      <c r="AN192" s="1"/>
      <c r="AO192" s="1"/>
      <c r="AP192" s="1">
        <v>4.0</v>
      </c>
      <c r="AQ192" s="1">
        <v>60461.82813</v>
      </c>
      <c r="AR192" s="1">
        <v>71.03899384</v>
      </c>
      <c r="AS192" s="5">
        <v>99.91703407</v>
      </c>
      <c r="AT192" s="5">
        <v>0.0</v>
      </c>
      <c r="AU192" s="5">
        <v>0.08296592591</v>
      </c>
      <c r="AV192" s="5">
        <v>0.0</v>
      </c>
    </row>
    <row r="193">
      <c r="A193" s="1" t="s">
        <v>210</v>
      </c>
      <c r="B193" s="1">
        <v>4.0</v>
      </c>
      <c r="C193" s="1">
        <v>65273.51172</v>
      </c>
      <c r="D193" s="1">
        <f t="shared" si="4"/>
        <v>66000000</v>
      </c>
      <c r="E193" s="2">
        <f t="shared" si="1"/>
        <v>19.02500153</v>
      </c>
      <c r="F193" s="1">
        <v>80.97499847</v>
      </c>
      <c r="G193" s="4">
        <f t="shared" si="2"/>
        <v>52855.22512</v>
      </c>
      <c r="R193" s="5">
        <v>99.9999985</v>
      </c>
      <c r="S193" s="5">
        <f t="shared" si="6"/>
        <v>100</v>
      </c>
      <c r="T193" s="5">
        <v>0.0</v>
      </c>
      <c r="U193" s="5">
        <v>1.49610841E-6</v>
      </c>
      <c r="V193" s="5">
        <v>0.0</v>
      </c>
      <c r="W193" s="5"/>
      <c r="X193" s="1">
        <v>100.0</v>
      </c>
      <c r="Y193" s="1">
        <v>0.0</v>
      </c>
      <c r="Z193" s="1">
        <v>0.0</v>
      </c>
      <c r="AA193" s="1">
        <v>0.0</v>
      </c>
      <c r="AB193" s="1"/>
      <c r="AC193" s="1">
        <v>100.0</v>
      </c>
      <c r="AD193" s="1">
        <v>0.0</v>
      </c>
      <c r="AE193" s="1">
        <v>0.0</v>
      </c>
      <c r="AF193" s="1">
        <v>0.0</v>
      </c>
      <c r="AG193" s="1"/>
      <c r="AH193" s="1"/>
      <c r="AI193" s="1"/>
      <c r="AJ193" s="1"/>
      <c r="AK193" s="1"/>
      <c r="AL193" s="1"/>
      <c r="AM193" s="1"/>
      <c r="AN193" s="1"/>
      <c r="AO193" s="1"/>
      <c r="AP193" s="1">
        <v>4.0</v>
      </c>
      <c r="AQ193" s="1">
        <v>65273.51172</v>
      </c>
      <c r="AR193" s="1">
        <v>80.97499847</v>
      </c>
      <c r="AS193" s="5">
        <v>99.9999985</v>
      </c>
      <c r="AT193" s="5">
        <v>0.0</v>
      </c>
      <c r="AU193" s="5">
        <v>1.49610841E-6</v>
      </c>
      <c r="AV193" s="5">
        <v>0.0</v>
      </c>
    </row>
    <row r="194">
      <c r="A194" s="1" t="s">
        <v>211</v>
      </c>
      <c r="B194" s="1">
        <v>4.0</v>
      </c>
      <c r="C194" s="1">
        <v>67886.00781</v>
      </c>
      <c r="D194" s="1">
        <f t="shared" si="4"/>
        <v>68000000</v>
      </c>
      <c r="E194" s="2">
        <f t="shared" si="1"/>
        <v>16.09700012</v>
      </c>
      <c r="F194" s="1">
        <v>83.90299988</v>
      </c>
      <c r="G194" s="4">
        <f t="shared" si="2"/>
        <v>56958.39705</v>
      </c>
      <c r="R194" s="5">
        <v>99.99999856</v>
      </c>
      <c r="S194" s="5">
        <f t="shared" si="6"/>
        <v>100</v>
      </c>
      <c r="T194" s="5">
        <v>0.0</v>
      </c>
      <c r="U194" s="5">
        <v>1.43853282E-6</v>
      </c>
      <c r="V194" s="5">
        <v>0.0</v>
      </c>
      <c r="W194" s="5"/>
      <c r="X194" s="1">
        <v>100.0</v>
      </c>
      <c r="Y194" s="1">
        <v>0.0</v>
      </c>
      <c r="Z194" s="1">
        <v>0.0</v>
      </c>
      <c r="AA194" s="1">
        <v>0.0</v>
      </c>
      <c r="AB194" s="1"/>
      <c r="AC194" s="1">
        <v>100.0</v>
      </c>
      <c r="AD194" s="1">
        <v>0.0</v>
      </c>
      <c r="AE194" s="1">
        <v>0.0</v>
      </c>
      <c r="AF194" s="1">
        <v>0.0</v>
      </c>
      <c r="AG194" s="1"/>
      <c r="AH194" s="1"/>
      <c r="AI194" s="1"/>
      <c r="AJ194" s="1"/>
      <c r="AK194" s="1"/>
      <c r="AL194" s="1"/>
      <c r="AM194" s="1"/>
      <c r="AN194" s="1"/>
      <c r="AO194" s="1"/>
      <c r="AP194" s="1">
        <v>4.0</v>
      </c>
      <c r="AQ194" s="1">
        <v>67886.00781</v>
      </c>
      <c r="AR194" s="1">
        <v>83.90299988</v>
      </c>
      <c r="AS194" s="5">
        <v>99.99999856</v>
      </c>
      <c r="AT194" s="5">
        <v>0.0</v>
      </c>
      <c r="AU194" s="5">
        <v>1.43853282E-6</v>
      </c>
      <c r="AV194" s="5">
        <v>0.0</v>
      </c>
    </row>
    <row r="195">
      <c r="A195" s="1" t="s">
        <v>212</v>
      </c>
      <c r="B195" s="1">
        <v>3.0</v>
      </c>
      <c r="C195" s="1">
        <v>69799.97656</v>
      </c>
      <c r="D195" s="1">
        <f t="shared" si="4"/>
        <v>70000000</v>
      </c>
      <c r="E195" s="2">
        <f t="shared" si="1"/>
        <v>48.56999969</v>
      </c>
      <c r="F195" s="1">
        <v>51.43000031</v>
      </c>
      <c r="G195" s="4">
        <f t="shared" si="2"/>
        <v>35898.12816</v>
      </c>
      <c r="R195" s="5">
        <v>100.0</v>
      </c>
      <c r="S195" s="5">
        <f t="shared" si="6"/>
        <v>100</v>
      </c>
      <c r="T195" s="5">
        <v>0.0</v>
      </c>
      <c r="U195" s="5">
        <v>0.0</v>
      </c>
      <c r="V195" s="5">
        <v>0.0</v>
      </c>
      <c r="W195" s="5"/>
      <c r="X195" s="1">
        <v>100.0</v>
      </c>
      <c r="Y195" s="1">
        <v>0.0</v>
      </c>
      <c r="Z195" s="1">
        <v>0.0</v>
      </c>
      <c r="AA195" s="1">
        <v>0.0</v>
      </c>
      <c r="AB195" s="1"/>
      <c r="AC195" s="1">
        <v>100.0</v>
      </c>
      <c r="AD195" s="1">
        <v>0.0</v>
      </c>
      <c r="AE195" s="1">
        <v>0.0</v>
      </c>
      <c r="AF195" s="1">
        <v>0.0</v>
      </c>
      <c r="AG195" s="1"/>
      <c r="AH195" s="1"/>
      <c r="AI195" s="1"/>
      <c r="AJ195" s="1"/>
      <c r="AK195" s="1"/>
      <c r="AL195" s="1"/>
      <c r="AM195" s="1"/>
      <c r="AN195" s="1"/>
      <c r="AO195" s="1"/>
      <c r="AP195" s="1">
        <v>3.0</v>
      </c>
      <c r="AQ195" s="1">
        <v>69799.97656</v>
      </c>
      <c r="AR195" s="1">
        <v>51.43000031</v>
      </c>
      <c r="AS195" s="5">
        <v>100.0</v>
      </c>
      <c r="AT195" s="5">
        <v>0.0</v>
      </c>
      <c r="AU195" s="5">
        <v>0.0</v>
      </c>
      <c r="AV195" s="5">
        <v>0.0</v>
      </c>
    </row>
    <row r="196">
      <c r="A196" s="1" t="s">
        <v>213</v>
      </c>
      <c r="B196" s="1">
        <v>4.0</v>
      </c>
      <c r="C196" s="1">
        <v>83783.94531</v>
      </c>
      <c r="D196" s="1">
        <f t="shared" si="4"/>
        <v>84000000</v>
      </c>
      <c r="E196" s="2">
        <f t="shared" si="1"/>
        <v>22.54699707</v>
      </c>
      <c r="F196" s="1">
        <v>77.45300293</v>
      </c>
      <c r="G196" s="4">
        <f t="shared" si="2"/>
        <v>64893.18162</v>
      </c>
      <c r="R196" s="5">
        <v>100.0000023</v>
      </c>
      <c r="S196" s="5">
        <f t="shared" si="6"/>
        <v>100</v>
      </c>
      <c r="T196" s="5">
        <v>0.0</v>
      </c>
      <c r="U196" s="5">
        <v>0.0</v>
      </c>
      <c r="V196" s="5">
        <v>0.0</v>
      </c>
      <c r="W196" s="5"/>
      <c r="X196" s="1">
        <v>100.0</v>
      </c>
      <c r="Y196" s="1">
        <v>0.0</v>
      </c>
      <c r="Z196" s="1">
        <v>0.0</v>
      </c>
      <c r="AA196" s="1">
        <v>0.0</v>
      </c>
      <c r="AB196" s="1"/>
      <c r="AC196" s="1">
        <v>100.0</v>
      </c>
      <c r="AD196" s="1">
        <v>0.0</v>
      </c>
      <c r="AE196" s="1">
        <v>0.0</v>
      </c>
      <c r="AF196" s="1">
        <v>0.0</v>
      </c>
      <c r="AG196" s="1"/>
      <c r="AH196" s="1"/>
      <c r="AI196" s="1"/>
      <c r="AJ196" s="1"/>
      <c r="AK196" s="1"/>
      <c r="AL196" s="1"/>
      <c r="AM196" s="1"/>
      <c r="AN196" s="1"/>
      <c r="AO196" s="1"/>
      <c r="AP196" s="1">
        <v>4.0</v>
      </c>
      <c r="AQ196" s="1">
        <v>83783.94531</v>
      </c>
      <c r="AR196" s="1">
        <v>77.45300293</v>
      </c>
      <c r="AS196" s="5">
        <v>100.0000023</v>
      </c>
      <c r="AT196" s="5">
        <v>0.0</v>
      </c>
      <c r="AU196" s="5">
        <v>0.0</v>
      </c>
      <c r="AV196" s="5">
        <v>0.0</v>
      </c>
    </row>
    <row r="197">
      <c r="A197" s="1" t="s">
        <v>214</v>
      </c>
      <c r="B197" s="1">
        <v>2.0</v>
      </c>
      <c r="C197" s="1">
        <v>83992.95313</v>
      </c>
      <c r="D197" s="1">
        <f t="shared" si="4"/>
        <v>84000000</v>
      </c>
      <c r="E197" s="2">
        <f t="shared" si="1"/>
        <v>24.12599945</v>
      </c>
      <c r="F197" s="1">
        <v>75.87400055</v>
      </c>
      <c r="G197" s="4">
        <f t="shared" si="2"/>
        <v>63728.81372</v>
      </c>
      <c r="R197" s="5">
        <v>97.48263633</v>
      </c>
      <c r="S197" s="5">
        <f t="shared" si="6"/>
        <v>97</v>
      </c>
      <c r="T197" s="5">
        <v>1.938311229</v>
      </c>
      <c r="U197" s="5">
        <v>0.5137973631</v>
      </c>
      <c r="V197" s="5">
        <v>0.06525508185</v>
      </c>
      <c r="W197" s="5"/>
      <c r="X197" s="1">
        <v>93.82873538</v>
      </c>
      <c r="Y197" s="1">
        <v>4.297948765</v>
      </c>
      <c r="Z197" s="1">
        <v>1.602839669</v>
      </c>
      <c r="AA197" s="1">
        <v>0.2704761905</v>
      </c>
      <c r="AB197" s="1"/>
      <c r="AC197" s="1">
        <v>98.64448672</v>
      </c>
      <c r="AD197" s="1">
        <v>1.188006671</v>
      </c>
      <c r="AE197" s="1">
        <v>0.1675066077</v>
      </c>
      <c r="AF197" s="1">
        <v>0.0</v>
      </c>
      <c r="AG197" s="1"/>
      <c r="AH197" s="1"/>
      <c r="AI197" s="1"/>
      <c r="AJ197" s="1"/>
      <c r="AK197" s="1"/>
      <c r="AL197" s="1"/>
      <c r="AM197" s="1"/>
      <c r="AN197" s="1"/>
      <c r="AO197" s="1"/>
      <c r="AP197" s="1">
        <v>2.0</v>
      </c>
      <c r="AQ197" s="1">
        <v>83992.95313</v>
      </c>
      <c r="AR197" s="1">
        <v>75.87400055</v>
      </c>
      <c r="AS197" s="5">
        <v>97.48263633</v>
      </c>
      <c r="AT197" s="5">
        <v>1.938311229</v>
      </c>
      <c r="AU197" s="5">
        <v>0.5137973631</v>
      </c>
      <c r="AV197" s="5">
        <v>0.06525508185</v>
      </c>
    </row>
    <row r="198">
      <c r="A198" s="1" t="s">
        <v>215</v>
      </c>
      <c r="B198" s="1">
        <v>3.0</v>
      </c>
      <c r="C198" s="1">
        <v>84339.07031</v>
      </c>
      <c r="D198" s="1">
        <f t="shared" si="4"/>
        <v>85000000</v>
      </c>
      <c r="E198" s="2">
        <f t="shared" si="1"/>
        <v>23.89499664</v>
      </c>
      <c r="F198" s="1">
        <v>76.10500336</v>
      </c>
      <c r="G198" s="4">
        <f t="shared" si="2"/>
        <v>64186.25229</v>
      </c>
      <c r="R198" s="5">
        <v>97.01426916</v>
      </c>
      <c r="S198" s="5">
        <f t="shared" si="6"/>
        <v>97</v>
      </c>
      <c r="T198" s="5">
        <v>2.023078075</v>
      </c>
      <c r="U198" s="5">
        <v>0.7376749545</v>
      </c>
      <c r="V198" s="5">
        <v>0.2249778093</v>
      </c>
      <c r="W198" s="5"/>
      <c r="X198" s="1">
        <v>96.02516977</v>
      </c>
      <c r="Y198" s="1">
        <v>2.684574639</v>
      </c>
      <c r="Z198" s="1">
        <v>0.7882555911</v>
      </c>
      <c r="AA198" s="1">
        <v>0.502</v>
      </c>
      <c r="AB198" s="1"/>
      <c r="AC198" s="1">
        <v>97.32481783</v>
      </c>
      <c r="AD198" s="1">
        <v>1.815385203</v>
      </c>
      <c r="AE198" s="1">
        <v>0.7217969634</v>
      </c>
      <c r="AF198" s="1">
        <v>0.138</v>
      </c>
      <c r="AG198" s="1"/>
      <c r="AH198" s="1"/>
      <c r="AI198" s="1"/>
      <c r="AJ198" s="1"/>
      <c r="AK198" s="1"/>
      <c r="AL198" s="1"/>
      <c r="AM198" s="1"/>
      <c r="AN198" s="1"/>
      <c r="AO198" s="1"/>
      <c r="AP198" s="1">
        <v>3.0</v>
      </c>
      <c r="AQ198" s="1">
        <v>84339.07031</v>
      </c>
      <c r="AR198" s="1">
        <v>76.10500336</v>
      </c>
      <c r="AS198" s="5">
        <v>97.01426916</v>
      </c>
      <c r="AT198" s="5">
        <v>2.023078075</v>
      </c>
      <c r="AU198" s="5">
        <v>0.7376749545</v>
      </c>
      <c r="AV198" s="5">
        <v>0.2249778093</v>
      </c>
    </row>
    <row r="199">
      <c r="A199" s="1" t="s">
        <v>216</v>
      </c>
      <c r="B199" s="1">
        <v>2.0</v>
      </c>
      <c r="C199" s="1">
        <v>89561.40625</v>
      </c>
      <c r="D199" s="1">
        <f t="shared" si="4"/>
        <v>90000000</v>
      </c>
      <c r="E199" s="2">
        <f t="shared" si="1"/>
        <v>54.36199951</v>
      </c>
      <c r="F199" s="1">
        <v>45.63800049</v>
      </c>
      <c r="G199" s="4">
        <f t="shared" si="2"/>
        <v>40874.03502</v>
      </c>
      <c r="R199" s="5">
        <v>45.95212696</v>
      </c>
      <c r="S199" s="5">
        <f t="shared" si="6"/>
        <v>46</v>
      </c>
      <c r="T199" s="5">
        <v>13.44122447</v>
      </c>
      <c r="U199" s="5">
        <v>32.54231607</v>
      </c>
      <c r="V199" s="5">
        <v>8.064332495</v>
      </c>
      <c r="W199" s="5"/>
      <c r="X199" s="1">
        <v>21.98279234</v>
      </c>
      <c r="Y199" s="1">
        <v>12.68294146</v>
      </c>
      <c r="Z199" s="1">
        <v>51.21598167</v>
      </c>
      <c r="AA199" s="1">
        <v>14.11828453</v>
      </c>
      <c r="AB199" s="1"/>
      <c r="AC199" s="1">
        <v>74.50335478</v>
      </c>
      <c r="AD199" s="1">
        <v>14.34445818</v>
      </c>
      <c r="AE199" s="1">
        <v>10.29905862</v>
      </c>
      <c r="AF199" s="1">
        <v>0.8531284131</v>
      </c>
      <c r="AG199" s="1"/>
      <c r="AH199" s="1"/>
      <c r="AI199" s="1"/>
      <c r="AJ199" s="1"/>
      <c r="AK199" s="1"/>
      <c r="AL199" s="1"/>
      <c r="AM199" s="1"/>
      <c r="AN199" s="1"/>
      <c r="AO199" s="1"/>
      <c r="AP199" s="1">
        <v>2.0</v>
      </c>
      <c r="AQ199" s="1">
        <v>89561.40625</v>
      </c>
      <c r="AR199" s="1">
        <v>45.63800049</v>
      </c>
      <c r="AS199" s="5">
        <v>45.95212696</v>
      </c>
      <c r="AT199" s="5">
        <v>13.44122447</v>
      </c>
      <c r="AU199" s="5">
        <v>32.54231607</v>
      </c>
      <c r="AV199" s="5">
        <v>8.064332495</v>
      </c>
    </row>
    <row r="200">
      <c r="A200" s="1" t="s">
        <v>217</v>
      </c>
      <c r="B200" s="1">
        <v>2.0</v>
      </c>
      <c r="C200" s="1">
        <v>97338.58594</v>
      </c>
      <c r="D200" s="1">
        <f t="shared" si="4"/>
        <v>98000000</v>
      </c>
      <c r="E200" s="2">
        <f t="shared" si="1"/>
        <v>62.65999985</v>
      </c>
      <c r="F200" s="1">
        <v>37.34000015</v>
      </c>
      <c r="G200" s="4">
        <f t="shared" si="2"/>
        <v>36346.22814</v>
      </c>
      <c r="R200" s="5">
        <v>96.88435687</v>
      </c>
      <c r="S200" s="5">
        <f t="shared" si="6"/>
        <v>97</v>
      </c>
      <c r="T200" s="5">
        <v>0.0</v>
      </c>
      <c r="U200" s="5">
        <v>3.115643126</v>
      </c>
      <c r="V200" s="5">
        <v>0.0</v>
      </c>
      <c r="W200" s="5"/>
      <c r="X200" s="1">
        <v>95.51453844</v>
      </c>
      <c r="Y200" s="1">
        <v>0.0</v>
      </c>
      <c r="Z200" s="1">
        <v>4.48546156</v>
      </c>
      <c r="AA200" s="1">
        <v>0.0</v>
      </c>
      <c r="AB200" s="1"/>
      <c r="AC200" s="1">
        <v>99.18304001</v>
      </c>
      <c r="AD200" s="1">
        <v>0.0</v>
      </c>
      <c r="AE200" s="1">
        <v>0.816959987</v>
      </c>
      <c r="AF200" s="1">
        <v>0.0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>
        <v>2.0</v>
      </c>
      <c r="AQ200" s="1">
        <v>97338.58594</v>
      </c>
      <c r="AR200" s="1">
        <v>37.34000015</v>
      </c>
      <c r="AS200" s="5">
        <v>96.88435687</v>
      </c>
      <c r="AT200" s="5">
        <v>0.0</v>
      </c>
      <c r="AU200" s="5">
        <v>3.115643126</v>
      </c>
      <c r="AV200" s="5">
        <v>0.0</v>
      </c>
    </row>
    <row r="201">
      <c r="A201" s="1" t="s">
        <v>218</v>
      </c>
      <c r="B201" s="1">
        <v>2.0</v>
      </c>
      <c r="C201" s="1">
        <v>102334.4063</v>
      </c>
      <c r="D201" s="1">
        <f t="shared" si="4"/>
        <v>103000000</v>
      </c>
      <c r="E201" s="2">
        <f t="shared" si="1"/>
        <v>57.21699905</v>
      </c>
      <c r="F201" s="1">
        <v>42.78300095</v>
      </c>
      <c r="G201" s="4">
        <f t="shared" si="2"/>
        <v>43781.73002</v>
      </c>
      <c r="R201" s="5">
        <v>99.44017596</v>
      </c>
      <c r="S201" s="5">
        <f t="shared" si="6"/>
        <v>99</v>
      </c>
      <c r="T201" s="5">
        <v>0.2376091086</v>
      </c>
      <c r="U201" s="5">
        <v>0.3222149265</v>
      </c>
      <c r="V201" s="5">
        <v>0.0</v>
      </c>
      <c r="W201" s="5"/>
      <c r="X201" s="1">
        <v>99.33283515</v>
      </c>
      <c r="Y201" s="1">
        <v>0.3359418224</v>
      </c>
      <c r="Z201" s="1">
        <v>0.3312230319</v>
      </c>
      <c r="AA201" s="1">
        <v>0.0</v>
      </c>
      <c r="AB201" s="1"/>
      <c r="AC201" s="1">
        <v>99.5837311</v>
      </c>
      <c r="AD201" s="1">
        <v>0.1061012067</v>
      </c>
      <c r="AE201" s="1">
        <v>0.3101676943</v>
      </c>
      <c r="AF201" s="1">
        <v>0.0</v>
      </c>
      <c r="AG201" s="1"/>
      <c r="AH201" s="1"/>
      <c r="AI201" s="1"/>
      <c r="AJ201" s="1"/>
      <c r="AK201" s="1"/>
      <c r="AL201" s="1"/>
      <c r="AM201" s="1"/>
      <c r="AN201" s="1"/>
      <c r="AO201" s="1"/>
      <c r="AP201" s="1">
        <v>2.0</v>
      </c>
      <c r="AQ201" s="1">
        <v>102334.4063</v>
      </c>
      <c r="AR201" s="1">
        <v>42.78300095</v>
      </c>
      <c r="AS201" s="5">
        <v>99.44017596</v>
      </c>
      <c r="AT201" s="5">
        <v>0.2376091086</v>
      </c>
      <c r="AU201" s="5">
        <v>0.3222149265</v>
      </c>
      <c r="AV201" s="5">
        <v>0.0</v>
      </c>
    </row>
    <row r="202">
      <c r="A202" s="1" t="s">
        <v>219</v>
      </c>
      <c r="B202" s="1">
        <v>2.0</v>
      </c>
      <c r="C202" s="1">
        <v>109581.0859</v>
      </c>
      <c r="D202" s="1">
        <f t="shared" si="4"/>
        <v>110000000</v>
      </c>
      <c r="E202" s="2">
        <f t="shared" si="1"/>
        <v>52.59200287</v>
      </c>
      <c r="F202" s="1">
        <v>47.40799713</v>
      </c>
      <c r="G202" s="4">
        <f t="shared" si="2"/>
        <v>51950.19806</v>
      </c>
      <c r="R202" s="5">
        <v>94.10903456</v>
      </c>
      <c r="S202" s="5">
        <f t="shared" si="6"/>
        <v>94</v>
      </c>
      <c r="T202" s="5">
        <v>2.856486137</v>
      </c>
      <c r="U202" s="5">
        <v>3.034479307</v>
      </c>
      <c r="V202" s="5">
        <v>0.0</v>
      </c>
      <c r="W202" s="5"/>
      <c r="X202" s="1">
        <v>91.06193322</v>
      </c>
      <c r="Y202" s="1">
        <v>3.959520428</v>
      </c>
      <c r="Z202" s="1">
        <v>4.978546347</v>
      </c>
      <c r="AA202" s="1">
        <v>0.0</v>
      </c>
      <c r="AB202" s="1"/>
      <c r="AC202" s="1">
        <v>97.4893325</v>
      </c>
      <c r="AD202" s="1">
        <v>1.632836465</v>
      </c>
      <c r="AE202" s="1">
        <v>0.877831036</v>
      </c>
      <c r="AF202" s="1">
        <v>0.0</v>
      </c>
      <c r="AG202" s="1"/>
      <c r="AH202" s="1"/>
      <c r="AI202" s="1"/>
      <c r="AJ202" s="1"/>
      <c r="AK202" s="1"/>
      <c r="AL202" s="1"/>
      <c r="AM202" s="1"/>
      <c r="AN202" s="1"/>
      <c r="AO202" s="1"/>
      <c r="AP202" s="1">
        <v>2.0</v>
      </c>
      <c r="AQ202" s="1">
        <v>109581.0859</v>
      </c>
      <c r="AR202" s="1">
        <v>47.40799713</v>
      </c>
      <c r="AS202" s="5">
        <v>94.10903456</v>
      </c>
      <c r="AT202" s="5">
        <v>2.856486137</v>
      </c>
      <c r="AU202" s="5">
        <v>3.034479307</v>
      </c>
      <c r="AV202" s="5">
        <v>0.0</v>
      </c>
    </row>
    <row r="203">
      <c r="A203" s="1" t="s">
        <v>220</v>
      </c>
      <c r="B203" s="1">
        <v>1.0</v>
      </c>
      <c r="C203" s="1">
        <v>114963.5859</v>
      </c>
      <c r="D203" s="1">
        <f t="shared" si="4"/>
        <v>115000000</v>
      </c>
      <c r="E203" s="2">
        <f t="shared" si="1"/>
        <v>78.30500031</v>
      </c>
      <c r="F203" s="1">
        <v>21.69499969</v>
      </c>
      <c r="G203" s="4">
        <f t="shared" si="2"/>
        <v>24941.3496</v>
      </c>
      <c r="R203" s="5">
        <v>49.61557274</v>
      </c>
      <c r="S203" s="5">
        <f t="shared" si="6"/>
        <v>50</v>
      </c>
      <c r="T203" s="5">
        <v>26.74071964</v>
      </c>
      <c r="U203" s="5">
        <v>18.63506013</v>
      </c>
      <c r="V203" s="5">
        <v>5.008647486</v>
      </c>
      <c r="W203" s="5"/>
      <c r="X203" s="1">
        <v>40.03013919</v>
      </c>
      <c r="Y203" s="1">
        <v>30.18668334</v>
      </c>
      <c r="Z203" s="1">
        <v>23.49561327</v>
      </c>
      <c r="AA203" s="1">
        <v>6.287564203</v>
      </c>
      <c r="AB203" s="1"/>
      <c r="AC203" s="1">
        <v>84.21282816</v>
      </c>
      <c r="AD203" s="1">
        <v>14.30300858</v>
      </c>
      <c r="AE203" s="1">
        <v>1.091582355</v>
      </c>
      <c r="AF203" s="1">
        <v>0.392580896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>
        <v>1.0</v>
      </c>
      <c r="AQ203" s="1">
        <v>114963.5859</v>
      </c>
      <c r="AR203" s="1">
        <v>21.69499969</v>
      </c>
      <c r="AS203" s="5">
        <v>49.61557274</v>
      </c>
      <c r="AT203" s="5">
        <v>26.74071964</v>
      </c>
      <c r="AU203" s="5">
        <v>18.63506013</v>
      </c>
      <c r="AV203" s="5">
        <v>5.008647486</v>
      </c>
    </row>
    <row r="204">
      <c r="A204" s="1" t="s">
        <v>221</v>
      </c>
      <c r="B204" s="1">
        <v>4.0</v>
      </c>
      <c r="C204" s="1">
        <v>126476.4609</v>
      </c>
      <c r="D204" s="1">
        <f t="shared" si="4"/>
        <v>127000000</v>
      </c>
      <c r="E204" s="2">
        <f t="shared" si="1"/>
        <v>8.21800232</v>
      </c>
      <c r="F204" s="1">
        <v>91.78199768</v>
      </c>
      <c r="G204" s="4">
        <f t="shared" si="2"/>
        <v>116082.6224</v>
      </c>
      <c r="R204" s="5">
        <v>99.07891245</v>
      </c>
      <c r="S204" s="5">
        <f t="shared" si="6"/>
        <v>99</v>
      </c>
      <c r="T204" s="5">
        <v>0.0</v>
      </c>
      <c r="U204" s="5">
        <v>0.9210875467</v>
      </c>
      <c r="V204" s="5">
        <v>0.0</v>
      </c>
      <c r="W204" s="5"/>
      <c r="X204" s="1" t="s">
        <v>19</v>
      </c>
      <c r="Y204" s="1" t="s">
        <v>19</v>
      </c>
      <c r="Z204" s="1" t="s">
        <v>19</v>
      </c>
      <c r="AA204" s="1" t="s">
        <v>19</v>
      </c>
      <c r="AB204" s="1"/>
      <c r="AC204" s="1" t="s">
        <v>19</v>
      </c>
      <c r="AD204" s="1" t="s">
        <v>19</v>
      </c>
      <c r="AE204" s="1" t="s">
        <v>19</v>
      </c>
      <c r="AF204" s="1" t="s">
        <v>19</v>
      </c>
      <c r="AG204" s="1"/>
      <c r="AH204" s="1"/>
      <c r="AI204" s="1"/>
      <c r="AJ204" s="1"/>
      <c r="AK204" s="1"/>
      <c r="AL204" s="1"/>
      <c r="AM204" s="1"/>
      <c r="AN204" s="1"/>
      <c r="AO204" s="1"/>
      <c r="AP204" s="1">
        <v>4.0</v>
      </c>
      <c r="AQ204" s="1">
        <v>126476.4609</v>
      </c>
      <c r="AR204" s="1">
        <v>91.78199768</v>
      </c>
      <c r="AS204" s="5">
        <v>99.07891245</v>
      </c>
      <c r="AT204" s="5">
        <v>0.0</v>
      </c>
      <c r="AU204" s="5">
        <v>0.9210875467</v>
      </c>
      <c r="AV204" s="5">
        <v>0.0</v>
      </c>
    </row>
    <row r="205">
      <c r="A205" s="1" t="s">
        <v>222</v>
      </c>
      <c r="B205" s="1">
        <v>3.0</v>
      </c>
      <c r="C205" s="1">
        <v>128932.75</v>
      </c>
      <c r="D205" s="1">
        <f t="shared" si="4"/>
        <v>129000000</v>
      </c>
      <c r="E205" s="2">
        <f t="shared" si="1"/>
        <v>19.26900482</v>
      </c>
      <c r="F205" s="1">
        <v>80.73099518</v>
      </c>
      <c r="G205" s="4">
        <f t="shared" si="2"/>
        <v>104088.6922</v>
      </c>
      <c r="R205" s="5">
        <v>99.67956828</v>
      </c>
      <c r="S205" s="5">
        <f t="shared" si="6"/>
        <v>100</v>
      </c>
      <c r="T205" s="5">
        <v>0.0</v>
      </c>
      <c r="U205" s="5">
        <v>0.3204317169</v>
      </c>
      <c r="V205" s="5">
        <v>0.0</v>
      </c>
      <c r="W205" s="5"/>
      <c r="X205" s="1">
        <v>98.33706893</v>
      </c>
      <c r="Y205" s="1">
        <v>0.0</v>
      </c>
      <c r="Z205" s="1">
        <v>1.662931067</v>
      </c>
      <c r="AA205" s="1">
        <v>0.0</v>
      </c>
      <c r="AB205" s="1"/>
      <c r="AC205" s="1">
        <v>100.0</v>
      </c>
      <c r="AD205" s="1">
        <v>0.0</v>
      </c>
      <c r="AE205" s="1">
        <v>0.0</v>
      </c>
      <c r="AF205" s="1">
        <v>0.0</v>
      </c>
      <c r="AG205" s="1"/>
      <c r="AH205" s="1"/>
      <c r="AI205" s="1"/>
      <c r="AJ205" s="1"/>
      <c r="AK205" s="1"/>
      <c r="AL205" s="1"/>
      <c r="AM205" s="1"/>
      <c r="AN205" s="1"/>
      <c r="AO205" s="1"/>
      <c r="AP205" s="1">
        <v>3.0</v>
      </c>
      <c r="AQ205" s="1">
        <v>128932.75</v>
      </c>
      <c r="AR205" s="1">
        <v>80.73099518</v>
      </c>
      <c r="AS205" s="5">
        <v>99.67956828</v>
      </c>
      <c r="AT205" s="5">
        <v>0.0</v>
      </c>
      <c r="AU205" s="5">
        <v>0.3204317169</v>
      </c>
      <c r="AV205" s="5">
        <v>0.0</v>
      </c>
    </row>
    <row r="206">
      <c r="A206" s="1" t="s">
        <v>223</v>
      </c>
      <c r="B206" s="1">
        <v>3.0</v>
      </c>
      <c r="C206" s="1">
        <v>145934.4531</v>
      </c>
      <c r="D206" s="1">
        <f t="shared" si="4"/>
        <v>146000000</v>
      </c>
      <c r="E206" s="2">
        <f t="shared" si="1"/>
        <v>25.24599457</v>
      </c>
      <c r="F206" s="1">
        <v>74.75400543</v>
      </c>
      <c r="G206" s="4">
        <f t="shared" si="2"/>
        <v>109091.849</v>
      </c>
      <c r="R206" s="5">
        <v>96.99254807</v>
      </c>
      <c r="S206" s="5">
        <f t="shared" si="6"/>
        <v>97</v>
      </c>
      <c r="T206" s="5">
        <v>0.6219963766</v>
      </c>
      <c r="U206" s="5">
        <v>2.38545555</v>
      </c>
      <c r="V206" s="7" t="s">
        <v>19</v>
      </c>
      <c r="W206" s="7"/>
      <c r="X206" s="1">
        <v>91.54410196</v>
      </c>
      <c r="Y206" s="1">
        <v>1.583163513</v>
      </c>
      <c r="Z206" s="1">
        <v>6.872734531</v>
      </c>
      <c r="AA206" s="1" t="s">
        <v>19</v>
      </c>
      <c r="AB206" s="1"/>
      <c r="AC206" s="1">
        <v>98.83259961</v>
      </c>
      <c r="AD206" s="1">
        <v>0.2973899687</v>
      </c>
      <c r="AE206" s="1">
        <v>0.6700104236</v>
      </c>
      <c r="AF206" s="1">
        <v>0.2</v>
      </c>
      <c r="AG206" s="1"/>
      <c r="AH206" s="1"/>
      <c r="AI206" s="1"/>
      <c r="AJ206" s="1"/>
      <c r="AK206" s="1"/>
      <c r="AL206" s="1"/>
      <c r="AM206" s="1"/>
      <c r="AN206" s="1"/>
      <c r="AO206" s="1"/>
      <c r="AP206" s="1">
        <v>3.0</v>
      </c>
      <c r="AQ206" s="1">
        <v>145934.4531</v>
      </c>
      <c r="AR206" s="1">
        <v>74.75400543</v>
      </c>
      <c r="AS206" s="5">
        <v>96.99254807</v>
      </c>
      <c r="AT206" s="5">
        <v>0.6219963766</v>
      </c>
      <c r="AU206" s="5">
        <v>2.38545555</v>
      </c>
      <c r="AV206" s="7" t="s">
        <v>19</v>
      </c>
    </row>
    <row r="207">
      <c r="A207" s="1" t="s">
        <v>224</v>
      </c>
      <c r="B207" s="1">
        <v>2.0</v>
      </c>
      <c r="C207" s="1">
        <v>164689.3906</v>
      </c>
      <c r="D207" s="1">
        <f t="shared" si="4"/>
        <v>165000000</v>
      </c>
      <c r="E207" s="2">
        <f t="shared" si="1"/>
        <v>61.82299805</v>
      </c>
      <c r="F207" s="1">
        <v>38.17700195</v>
      </c>
      <c r="G207" s="4">
        <f t="shared" si="2"/>
        <v>62873.47186</v>
      </c>
      <c r="R207" s="5">
        <v>97.69796025</v>
      </c>
      <c r="S207" s="5">
        <f t="shared" si="6"/>
        <v>98</v>
      </c>
      <c r="T207" s="5">
        <v>1.156425878</v>
      </c>
      <c r="U207" s="5">
        <v>0.4626557002</v>
      </c>
      <c r="V207" s="5">
        <v>0.6829581735</v>
      </c>
      <c r="W207" s="5"/>
      <c r="X207" s="1">
        <v>97.88023776</v>
      </c>
      <c r="Y207" s="1">
        <v>0.8581049804</v>
      </c>
      <c r="Z207" s="1">
        <v>0.3164802414</v>
      </c>
      <c r="AA207" s="1">
        <v>0.9451770151</v>
      </c>
      <c r="AB207" s="1"/>
      <c r="AC207" s="1">
        <v>97.40277797</v>
      </c>
      <c r="AD207" s="1">
        <v>1.639520121</v>
      </c>
      <c r="AE207" s="1">
        <v>0.6993752147</v>
      </c>
      <c r="AF207" s="1">
        <v>0.2583266934</v>
      </c>
      <c r="AG207" s="1"/>
      <c r="AH207" s="1"/>
      <c r="AI207" s="1"/>
      <c r="AJ207" s="1"/>
      <c r="AK207" s="1"/>
      <c r="AL207" s="1"/>
      <c r="AM207" s="1"/>
      <c r="AN207" s="1"/>
      <c r="AO207" s="1"/>
      <c r="AP207" s="1">
        <v>2.0</v>
      </c>
      <c r="AQ207" s="1">
        <v>164689.3906</v>
      </c>
      <c r="AR207" s="1">
        <v>38.17700195</v>
      </c>
      <c r="AS207" s="5">
        <v>97.69796025</v>
      </c>
      <c r="AT207" s="5">
        <v>1.156425878</v>
      </c>
      <c r="AU207" s="5">
        <v>0.4626557002</v>
      </c>
      <c r="AV207" s="5">
        <v>0.6829581735</v>
      </c>
    </row>
    <row r="208">
      <c r="A208" s="1" t="s">
        <v>225</v>
      </c>
      <c r="B208" s="1">
        <v>2.0</v>
      </c>
      <c r="C208" s="1">
        <v>206139.5938</v>
      </c>
      <c r="D208" s="1">
        <f t="shared" si="4"/>
        <v>207000000</v>
      </c>
      <c r="E208" s="2">
        <f t="shared" si="1"/>
        <v>48.04199982</v>
      </c>
      <c r="F208" s="1">
        <v>51.95800018</v>
      </c>
      <c r="G208" s="4">
        <f t="shared" si="2"/>
        <v>107106.0105</v>
      </c>
      <c r="R208" s="5">
        <v>77.60905338</v>
      </c>
      <c r="S208" s="5">
        <f t="shared" si="6"/>
        <v>78</v>
      </c>
      <c r="T208" s="5">
        <v>4.979399343</v>
      </c>
      <c r="U208" s="5">
        <v>11.79691148</v>
      </c>
      <c r="V208" s="5">
        <v>5.614635794</v>
      </c>
      <c r="W208" s="5"/>
      <c r="X208" s="1">
        <v>61.65821003</v>
      </c>
      <c r="Y208" s="1">
        <v>7.128924583</v>
      </c>
      <c r="Z208" s="1">
        <v>20.92487535</v>
      </c>
      <c r="AA208" s="1">
        <v>10.28799004</v>
      </c>
      <c r="AB208" s="1"/>
      <c r="AC208" s="1">
        <v>92.35770519</v>
      </c>
      <c r="AD208" s="1">
        <v>2.99188065</v>
      </c>
      <c r="AE208" s="1">
        <v>3.356908786</v>
      </c>
      <c r="AF208" s="1">
        <v>1.29350537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>
        <v>2.0</v>
      </c>
      <c r="AQ208" s="1">
        <v>206139.5938</v>
      </c>
      <c r="AR208" s="1">
        <v>51.95800018</v>
      </c>
      <c r="AS208" s="5">
        <v>77.60905338</v>
      </c>
      <c r="AT208" s="5">
        <v>4.979399343</v>
      </c>
      <c r="AU208" s="5">
        <v>11.79691148</v>
      </c>
      <c r="AV208" s="5">
        <v>5.614635794</v>
      </c>
    </row>
    <row r="209">
      <c r="A209" s="1" t="s">
        <v>226</v>
      </c>
      <c r="B209" s="1">
        <v>3.0</v>
      </c>
      <c r="C209" s="1">
        <v>212559.4063</v>
      </c>
      <c r="D209" s="1">
        <f t="shared" si="4"/>
        <v>213000000</v>
      </c>
      <c r="E209" s="2">
        <f t="shared" si="1"/>
        <v>12.92700195</v>
      </c>
      <c r="F209" s="1">
        <v>87.07299805</v>
      </c>
      <c r="G209" s="4">
        <f t="shared" si="2"/>
        <v>185081.8477</v>
      </c>
      <c r="R209" s="5">
        <v>99.32085299</v>
      </c>
      <c r="S209" s="7"/>
      <c r="T209" s="5">
        <v>0.1265490039</v>
      </c>
      <c r="U209" s="5">
        <v>0.5525980099</v>
      </c>
      <c r="V209" s="7" t="s">
        <v>19</v>
      </c>
      <c r="W209" s="7"/>
      <c r="X209" s="1">
        <v>95.94525953</v>
      </c>
      <c r="Y209" s="1">
        <v>0.9789509154</v>
      </c>
      <c r="Z209" s="1">
        <v>3.075789551</v>
      </c>
      <c r="AA209" s="1" t="s">
        <v>19</v>
      </c>
      <c r="AB209" s="1"/>
      <c r="AC209" s="1">
        <v>99.82200131</v>
      </c>
      <c r="AD209" s="1">
        <v>0.0</v>
      </c>
      <c r="AE209" s="1">
        <v>0.1779986949</v>
      </c>
      <c r="AF209" s="1">
        <v>0.0</v>
      </c>
      <c r="AG209" s="1"/>
      <c r="AH209" s="1"/>
      <c r="AI209" s="1"/>
      <c r="AJ209" s="1"/>
      <c r="AK209" s="1"/>
      <c r="AL209" s="1"/>
      <c r="AM209" s="1"/>
      <c r="AN209" s="1"/>
      <c r="AO209" s="1"/>
      <c r="AP209" s="1">
        <v>3.0</v>
      </c>
      <c r="AQ209" s="1">
        <v>212559.4063</v>
      </c>
      <c r="AR209" s="1">
        <v>87.07299805</v>
      </c>
      <c r="AS209" s="5">
        <v>99.32085299</v>
      </c>
      <c r="AT209" s="5">
        <v>0.1265490039</v>
      </c>
      <c r="AU209" s="5">
        <v>0.5525980099</v>
      </c>
      <c r="AV209" s="7" t="s">
        <v>19</v>
      </c>
    </row>
    <row r="210">
      <c r="A210" s="1" t="s">
        <v>227</v>
      </c>
      <c r="B210" s="1">
        <v>2.0</v>
      </c>
      <c r="C210" s="1">
        <v>220892.3281</v>
      </c>
      <c r="D210" s="1">
        <f t="shared" si="4"/>
        <v>221000000</v>
      </c>
      <c r="E210" s="2">
        <f t="shared" si="1"/>
        <v>62.83499908</v>
      </c>
      <c r="F210" s="1">
        <v>37.16500092</v>
      </c>
      <c r="G210" s="4">
        <f t="shared" si="2"/>
        <v>82094.63577</v>
      </c>
      <c r="R210" s="5">
        <v>90.14896508</v>
      </c>
      <c r="S210" s="5">
        <f t="shared" ref="S210:S214" si="7">ROUND(R210,0)</f>
        <v>90</v>
      </c>
      <c r="T210" s="5">
        <v>3.822279525</v>
      </c>
      <c r="U210" s="5">
        <v>4.413307574</v>
      </c>
      <c r="V210" s="5">
        <v>1.61544782</v>
      </c>
      <c r="W210" s="5"/>
      <c r="X210" s="1">
        <v>88.59986076</v>
      </c>
      <c r="Y210" s="1">
        <v>3.852278117</v>
      </c>
      <c r="Z210" s="1">
        <v>5.174596509</v>
      </c>
      <c r="AA210" s="1">
        <v>2.373264617</v>
      </c>
      <c r="AB210" s="1"/>
      <c r="AC210" s="1">
        <v>92.76804985</v>
      </c>
      <c r="AD210" s="1">
        <v>3.771561162</v>
      </c>
      <c r="AE210" s="1">
        <v>3.126184571</v>
      </c>
      <c r="AF210" s="1">
        <v>0.3342044223</v>
      </c>
      <c r="AG210" s="1"/>
      <c r="AH210" s="1"/>
      <c r="AI210" s="1"/>
      <c r="AJ210" s="1"/>
      <c r="AK210" s="1"/>
      <c r="AL210" s="1"/>
      <c r="AM210" s="1"/>
      <c r="AN210" s="1"/>
      <c r="AO210" s="1"/>
      <c r="AP210" s="1">
        <v>2.0</v>
      </c>
      <c r="AQ210" s="1">
        <v>220892.3281</v>
      </c>
      <c r="AR210" s="1">
        <v>37.16500092</v>
      </c>
      <c r="AS210" s="5">
        <v>90.14896508</v>
      </c>
      <c r="AT210" s="5">
        <v>3.822279525</v>
      </c>
      <c r="AU210" s="5">
        <v>4.413307574</v>
      </c>
      <c r="AV210" s="5">
        <v>1.61544782</v>
      </c>
    </row>
    <row r="211">
      <c r="A211" s="1" t="s">
        <v>228</v>
      </c>
      <c r="B211" s="1">
        <v>2.0</v>
      </c>
      <c r="C211" s="1">
        <v>273523.625</v>
      </c>
      <c r="D211" s="1">
        <f t="shared" si="4"/>
        <v>274000000</v>
      </c>
      <c r="E211" s="2">
        <f t="shared" si="1"/>
        <v>43.35900116</v>
      </c>
      <c r="F211" s="1">
        <v>56.64099884</v>
      </c>
      <c r="G211" s="4">
        <f t="shared" si="2"/>
        <v>154926.5133</v>
      </c>
      <c r="R211" s="5">
        <v>92.41534961</v>
      </c>
      <c r="S211" s="5">
        <f t="shared" si="7"/>
        <v>92</v>
      </c>
      <c r="T211" s="5">
        <v>0.8554746335</v>
      </c>
      <c r="U211" s="5">
        <v>5.553871666</v>
      </c>
      <c r="V211" s="5">
        <v>1.175304087</v>
      </c>
      <c r="W211" s="5"/>
      <c r="X211" s="1">
        <v>85.66796238</v>
      </c>
      <c r="Y211" s="1">
        <v>1.17809123</v>
      </c>
      <c r="Z211" s="1">
        <v>10.61491462</v>
      </c>
      <c r="AA211" s="1">
        <v>2.539031772</v>
      </c>
      <c r="AB211" s="1"/>
      <c r="AC211" s="1">
        <v>97.58051207</v>
      </c>
      <c r="AD211" s="1">
        <v>0.6085098345</v>
      </c>
      <c r="AE211" s="1">
        <v>1.679615139</v>
      </c>
      <c r="AF211" s="1">
        <v>0.1313629588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>
        <v>2.0</v>
      </c>
      <c r="AQ211" s="1">
        <v>273523.625</v>
      </c>
      <c r="AR211" s="1">
        <v>56.64099884</v>
      </c>
      <c r="AS211" s="5">
        <v>92.41534961</v>
      </c>
      <c r="AT211" s="5">
        <v>0.8554746335</v>
      </c>
      <c r="AU211" s="5">
        <v>5.553871666</v>
      </c>
      <c r="AV211" s="5">
        <v>1.175304087</v>
      </c>
    </row>
    <row r="212">
      <c r="A212" s="1" t="s">
        <v>229</v>
      </c>
      <c r="B212" s="1">
        <v>4.0</v>
      </c>
      <c r="C212" s="1">
        <v>331002.6563</v>
      </c>
      <c r="D212" s="1">
        <f t="shared" si="4"/>
        <v>332000000</v>
      </c>
      <c r="E212" s="2">
        <f t="shared" si="1"/>
        <v>17.33599854</v>
      </c>
      <c r="F212" s="1">
        <v>82.66400146</v>
      </c>
      <c r="G212" s="4">
        <f t="shared" si="2"/>
        <v>273620.0406</v>
      </c>
      <c r="R212" s="5">
        <v>99.88352668</v>
      </c>
      <c r="S212" s="5">
        <f t="shared" si="7"/>
        <v>100</v>
      </c>
      <c r="T212" s="5">
        <v>0.0</v>
      </c>
      <c r="U212" s="5">
        <v>0.1164733182</v>
      </c>
      <c r="V212" s="5">
        <v>0.0</v>
      </c>
      <c r="W212" s="5"/>
      <c r="X212" s="1">
        <v>99.67078734</v>
      </c>
      <c r="Y212" s="1">
        <v>0.0</v>
      </c>
      <c r="Z212" s="1">
        <v>0.3292126628</v>
      </c>
      <c r="AA212" s="1">
        <v>0.0</v>
      </c>
      <c r="AB212" s="1"/>
      <c r="AC212" s="1">
        <v>99.92814447</v>
      </c>
      <c r="AD212" s="1">
        <v>0.0</v>
      </c>
      <c r="AE212" s="1">
        <v>0.0718555296</v>
      </c>
      <c r="AF212" s="1">
        <v>0.0</v>
      </c>
      <c r="AG212" s="1"/>
      <c r="AH212" s="1"/>
      <c r="AI212" s="1"/>
      <c r="AJ212" s="1"/>
      <c r="AK212" s="1"/>
      <c r="AL212" s="1"/>
      <c r="AM212" s="1"/>
      <c r="AN212" s="1"/>
      <c r="AO212" s="1"/>
      <c r="AP212" s="1">
        <v>4.0</v>
      </c>
      <c r="AQ212" s="1">
        <v>331002.6563</v>
      </c>
      <c r="AR212" s="1">
        <v>82.66400146</v>
      </c>
      <c r="AS212" s="5">
        <v>99.88352668</v>
      </c>
      <c r="AT212" s="5">
        <v>0.0</v>
      </c>
      <c r="AU212" s="5">
        <v>0.1164733182</v>
      </c>
      <c r="AV212" s="5">
        <v>0.0</v>
      </c>
    </row>
    <row r="213">
      <c r="A213" s="1" t="s">
        <v>230</v>
      </c>
      <c r="B213" s="1">
        <v>2.0</v>
      </c>
      <c r="C213" s="1">
        <v>1380004.375</v>
      </c>
      <c r="D213" s="1">
        <f t="shared" si="4"/>
        <v>1381000000</v>
      </c>
      <c r="E213" s="2">
        <f t="shared" si="1"/>
        <v>65.0739975</v>
      </c>
      <c r="F213" s="1">
        <v>34.9260025</v>
      </c>
      <c r="G213" s="4">
        <f t="shared" si="2"/>
        <v>481980.3625</v>
      </c>
      <c r="R213" s="5">
        <v>90.48952503</v>
      </c>
      <c r="S213" s="5">
        <f t="shared" si="7"/>
        <v>90</v>
      </c>
      <c r="T213" s="5">
        <v>4.983602562</v>
      </c>
      <c r="U213" s="5">
        <v>3.963153945</v>
      </c>
      <c r="V213" s="5">
        <v>0.5637184626</v>
      </c>
      <c r="W213" s="5"/>
      <c r="X213" s="1">
        <v>88.78250313</v>
      </c>
      <c r="Y213" s="1">
        <v>5.902210054</v>
      </c>
      <c r="Z213" s="1">
        <v>4.57637573</v>
      </c>
      <c r="AA213" s="1">
        <v>0.7389110856</v>
      </c>
      <c r="AB213" s="1"/>
      <c r="AC213" s="1">
        <v>93.6700363</v>
      </c>
      <c r="AD213" s="1">
        <v>3.272056027</v>
      </c>
      <c r="AE213" s="1">
        <v>2.820607523</v>
      </c>
      <c r="AF213" s="1">
        <v>0.2373001538</v>
      </c>
      <c r="AG213" s="1"/>
      <c r="AH213" s="1"/>
      <c r="AI213" s="1"/>
      <c r="AJ213" s="1"/>
      <c r="AK213" s="1"/>
      <c r="AL213" s="1"/>
      <c r="AM213" s="1"/>
      <c r="AN213" s="1"/>
      <c r="AO213" s="1"/>
      <c r="AP213" s="1">
        <v>2.0</v>
      </c>
      <c r="AQ213" s="1">
        <v>1380004.375</v>
      </c>
      <c r="AR213" s="1">
        <v>34.9260025</v>
      </c>
      <c r="AS213" s="5">
        <v>90.48952503</v>
      </c>
      <c r="AT213" s="5">
        <v>4.983602562</v>
      </c>
      <c r="AU213" s="5">
        <v>3.963153945</v>
      </c>
      <c r="AV213" s="5">
        <v>0.5637184626</v>
      </c>
    </row>
    <row r="214">
      <c r="A214" s="1" t="s">
        <v>231</v>
      </c>
      <c r="B214" s="1">
        <v>3.0</v>
      </c>
      <c r="C214" s="1">
        <v>1463140.5</v>
      </c>
      <c r="D214" s="1">
        <f t="shared" si="4"/>
        <v>1464000000</v>
      </c>
      <c r="E214" s="2">
        <f t="shared" si="1"/>
        <v>38.28691101</v>
      </c>
      <c r="F214" s="1">
        <v>61.71308899</v>
      </c>
      <c r="G214" s="4">
        <f t="shared" si="2"/>
        <v>902949.1988</v>
      </c>
      <c r="R214" s="5">
        <v>94.26111059</v>
      </c>
      <c r="S214" s="5">
        <f t="shared" si="7"/>
        <v>94</v>
      </c>
      <c r="T214" s="5">
        <v>0.8147213297</v>
      </c>
      <c r="U214" s="5">
        <v>4.725451938</v>
      </c>
      <c r="V214" s="5">
        <v>0.1987161441</v>
      </c>
      <c r="W214" s="5"/>
      <c r="X214" s="1">
        <v>89.66123351</v>
      </c>
      <c r="Y214" s="1">
        <v>1.832679086</v>
      </c>
      <c r="Z214" s="1">
        <v>8.506087409</v>
      </c>
      <c r="AA214" s="1">
        <v>0.0</v>
      </c>
      <c r="AB214" s="1"/>
      <c r="AC214" s="1">
        <v>97.11488267</v>
      </c>
      <c r="AD214" s="1">
        <v>0.1831784927</v>
      </c>
      <c r="AE214" s="1">
        <v>2.37993884</v>
      </c>
      <c r="AF214" s="1">
        <v>0.322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>
        <v>3.0</v>
      </c>
      <c r="AQ214" s="1">
        <v>1463140.5</v>
      </c>
      <c r="AR214" s="1">
        <v>61.71308899</v>
      </c>
      <c r="AS214" s="5">
        <v>94.26111059</v>
      </c>
      <c r="AT214" s="5">
        <v>0.8147213297</v>
      </c>
      <c r="AU214" s="5">
        <v>4.725451938</v>
      </c>
      <c r="AV214" s="5">
        <v>0.1987161441</v>
      </c>
    </row>
    <row r="215">
      <c r="A215" s="1"/>
      <c r="G215" s="4"/>
      <c r="R215" s="7"/>
      <c r="S215" s="7"/>
      <c r="T215" s="7"/>
      <c r="U215" s="7"/>
      <c r="V215" s="7"/>
      <c r="W215" s="7"/>
    </row>
    <row r="216">
      <c r="A216" s="1" t="s">
        <v>241</v>
      </c>
      <c r="C216" s="2">
        <f>SUM(C2:C214)</f>
        <v>7786695.108</v>
      </c>
      <c r="G216" s="4"/>
      <c r="R216" s="7"/>
      <c r="S216" s="7"/>
      <c r="T216" s="7"/>
      <c r="U216" s="7"/>
      <c r="V216" s="7"/>
      <c r="W216" s="7"/>
    </row>
    <row r="217">
      <c r="G217" s="4"/>
      <c r="R217" s="7"/>
      <c r="S217" s="7"/>
      <c r="T217" s="7"/>
      <c r="U217" s="7"/>
      <c r="V217" s="7"/>
      <c r="W217" s="7"/>
    </row>
    <row r="218">
      <c r="A218" s="1" t="s">
        <v>242</v>
      </c>
      <c r="C218" s="2">
        <f>DIVIDE(C216, 1000000)</f>
        <v>7.786695108</v>
      </c>
      <c r="G218" s="4"/>
      <c r="R218" s="1" t="s">
        <v>243</v>
      </c>
      <c r="S218" s="7">
        <f>MAX(R2:R214,T2:T214,U2:U214,V2:V214)</f>
        <v>100.0000037</v>
      </c>
      <c r="T218" s="7"/>
      <c r="U218" s="7"/>
      <c r="V218" s="7"/>
      <c r="W218" s="7"/>
      <c r="AC218" s="9" t="s">
        <v>244</v>
      </c>
      <c r="AD218" s="7">
        <f>AVERAGE(AC2:AC214)</f>
        <v>94.68983975</v>
      </c>
    </row>
    <row r="219">
      <c r="A219" s="1" t="s">
        <v>245</v>
      </c>
      <c r="C219" s="1">
        <v>7.821</v>
      </c>
      <c r="D219" s="1"/>
      <c r="G219" s="4"/>
      <c r="R219" s="9" t="s">
        <v>246</v>
      </c>
      <c r="S219" s="7">
        <f>MAX(S2:S214)</f>
        <v>100</v>
      </c>
      <c r="T219" s="7"/>
      <c r="U219" s="7"/>
      <c r="V219" s="7"/>
      <c r="W219" s="7"/>
      <c r="AC219" s="9" t="s">
        <v>247</v>
      </c>
      <c r="AD219" s="7">
        <f>AVERAGE(AD2:AD214)</f>
        <v>3.281838654</v>
      </c>
    </row>
    <row r="220">
      <c r="G220" s="4"/>
      <c r="R220" s="7"/>
      <c r="S220" s="7"/>
      <c r="T220" s="7"/>
      <c r="U220" s="7"/>
      <c r="V220" s="7"/>
      <c r="W220" s="7"/>
      <c r="AC220" s="9" t="s">
        <v>248</v>
      </c>
      <c r="AD220" s="7">
        <f>AVERAGE(AE2:AE214)</f>
        <v>1.71878521</v>
      </c>
    </row>
    <row r="221">
      <c r="A221" s="1" t="s">
        <v>249</v>
      </c>
      <c r="C221" s="4">
        <f>SUM(G2:G214)</f>
        <v>4375308.463</v>
      </c>
      <c r="G221" s="4"/>
      <c r="R221" s="9" t="s">
        <v>250</v>
      </c>
      <c r="S221" s="7">
        <f>AVERAGE(R2:R214)</f>
        <v>89.86478253</v>
      </c>
      <c r="T221" s="7"/>
      <c r="U221" s="7"/>
      <c r="V221" s="7"/>
      <c r="W221" s="7"/>
      <c r="X221" s="9" t="s">
        <v>251</v>
      </c>
      <c r="Y221" s="7">
        <f>AVERAGE(X2:X214)</f>
        <v>81.33591803</v>
      </c>
      <c r="AC221" s="9" t="s">
        <v>252</v>
      </c>
      <c r="AD221" s="7">
        <f>AVERAGE(AF2:AF214)</f>
        <v>0.3131148443</v>
      </c>
    </row>
    <row r="222">
      <c r="A222" s="1" t="s">
        <v>253</v>
      </c>
      <c r="C222" s="2">
        <f>DIVIDE(C221, 1000000)</f>
        <v>4.375308463</v>
      </c>
      <c r="G222" s="4"/>
      <c r="R222" s="9" t="s">
        <v>254</v>
      </c>
      <c r="S222" s="7">
        <f>AVERAGE(T2:T214)</f>
        <v>3.865265345</v>
      </c>
      <c r="T222" s="7"/>
      <c r="U222" s="7"/>
      <c r="V222" s="7"/>
      <c r="W222" s="7"/>
      <c r="X222" s="9" t="s">
        <v>255</v>
      </c>
      <c r="Y222" s="7">
        <f>AVERAGE(Y2:Y214)</f>
        <v>5.836562548</v>
      </c>
      <c r="AC222" s="7"/>
      <c r="AD222" s="7"/>
    </row>
    <row r="223">
      <c r="G223" s="4"/>
      <c r="R223" s="9" t="s">
        <v>256</v>
      </c>
      <c r="S223" s="7">
        <f>AVERAGE(U2:U214)</f>
        <v>4.418010654</v>
      </c>
      <c r="T223" s="7"/>
      <c r="U223" s="7"/>
      <c r="V223" s="7"/>
      <c r="W223" s="7"/>
      <c r="X223" s="9" t="s">
        <v>257</v>
      </c>
      <c r="Y223" s="7">
        <f>AVERAGE(Z2:Z214)</f>
        <v>8.732261484</v>
      </c>
      <c r="AC223" s="9" t="s">
        <v>258</v>
      </c>
      <c r="AD223" s="7">
        <f>MEDIAN(AC2:AC214)</f>
        <v>98.10662849</v>
      </c>
    </row>
    <row r="224">
      <c r="A224" s="1" t="s">
        <v>259</v>
      </c>
      <c r="C224" s="2">
        <f>(55/100)*C219</f>
        <v>4.30155</v>
      </c>
      <c r="G224" s="4"/>
      <c r="R224" s="9" t="s">
        <v>260</v>
      </c>
      <c r="S224" s="7">
        <f>AVERAGE(V2:V214)</f>
        <v>1.915488584</v>
      </c>
      <c r="T224" s="7"/>
      <c r="U224" s="7"/>
      <c r="V224" s="7"/>
      <c r="W224" s="7"/>
      <c r="X224" s="9" t="s">
        <v>261</v>
      </c>
      <c r="Y224" s="7">
        <f>AVERAGE(AA2:AA214)</f>
        <v>4.224039638</v>
      </c>
      <c r="AC224" s="9" t="s">
        <v>262</v>
      </c>
      <c r="AD224" s="7">
        <f>MEDIAN(AD2:AD214)</f>
        <v>0.5</v>
      </c>
    </row>
    <row r="225">
      <c r="G225" s="4"/>
      <c r="R225" s="7"/>
      <c r="S225" s="7"/>
      <c r="T225" s="7"/>
      <c r="U225" s="7"/>
      <c r="V225" s="7"/>
      <c r="W225" s="7"/>
      <c r="X225" s="7"/>
      <c r="Y225" s="7"/>
      <c r="AC225" s="9" t="s">
        <v>263</v>
      </c>
      <c r="AD225" s="7">
        <f>MEDIAN(AE2:AE214)</f>
        <v>0.3498740029</v>
      </c>
    </row>
    <row r="226">
      <c r="A226" s="1" t="s">
        <v>264</v>
      </c>
      <c r="C226" s="2">
        <f>ABS(C218-C219)/((C218+C219)/2)*100</f>
        <v>0.4395894719</v>
      </c>
      <c r="G226" s="4"/>
      <c r="R226" s="9" t="s">
        <v>265</v>
      </c>
      <c r="S226" s="7">
        <f>MEDIAN(R2:R214)</f>
        <v>97.3481397</v>
      </c>
      <c r="T226" s="7"/>
      <c r="U226" s="7"/>
      <c r="V226" s="7"/>
      <c r="W226" s="7"/>
      <c r="X226" s="9" t="s">
        <v>266</v>
      </c>
      <c r="Y226" s="7">
        <f>MEDIAN(X2:X214)</f>
        <v>90.73161683</v>
      </c>
      <c r="AC226" s="9" t="s">
        <v>267</v>
      </c>
      <c r="AD226" s="2">
        <f>MEDIAN(AF2:AF214)</f>
        <v>0</v>
      </c>
    </row>
    <row r="227">
      <c r="R227" s="9" t="s">
        <v>268</v>
      </c>
      <c r="S227" s="7">
        <f>MEDIAN(T2:T214)</f>
        <v>0.4707829181</v>
      </c>
      <c r="T227" s="7"/>
      <c r="U227" s="7"/>
      <c r="V227" s="7"/>
      <c r="W227" s="7"/>
      <c r="X227" s="9" t="s">
        <v>269</v>
      </c>
      <c r="Y227" s="7">
        <f>MEDIAN(Y2:Y214)</f>
        <v>1.812330835</v>
      </c>
      <c r="AC227" s="7"/>
      <c r="AD227" s="7"/>
    </row>
    <row r="228">
      <c r="R228" s="9" t="s">
        <v>270</v>
      </c>
      <c r="S228" s="7">
        <f>MEDIAN(U2:U214)</f>
        <v>0.8536474704</v>
      </c>
      <c r="T228" s="7"/>
      <c r="U228" s="7"/>
      <c r="V228" s="7"/>
      <c r="W228" s="7"/>
      <c r="X228" s="9" t="s">
        <v>271</v>
      </c>
      <c r="Y228" s="7">
        <f>MEDIAN(Z2:Z214)</f>
        <v>3.229749713</v>
      </c>
      <c r="AC228" s="9" t="s">
        <v>272</v>
      </c>
      <c r="AD228" s="7">
        <f>MODE(AC2:AC214)</f>
        <v>100</v>
      </c>
    </row>
    <row r="229">
      <c r="R229" s="9" t="s">
        <v>273</v>
      </c>
      <c r="S229" s="2">
        <f>MEDIAN(V2:V214)</f>
        <v>0</v>
      </c>
      <c r="T229" s="7"/>
      <c r="U229" s="7"/>
      <c r="V229" s="7"/>
      <c r="W229" s="7"/>
      <c r="X229" s="9" t="s">
        <v>274</v>
      </c>
      <c r="Y229" s="2">
        <f>MEDIAN(AA2:AA214)</f>
        <v>0.2196897375</v>
      </c>
      <c r="AC229" s="9" t="s">
        <v>275</v>
      </c>
      <c r="AD229" s="7">
        <f>MODE(AD2:AD214)</f>
        <v>0</v>
      </c>
    </row>
    <row r="230">
      <c r="R230" s="7"/>
      <c r="S230" s="7"/>
      <c r="T230" s="7"/>
      <c r="U230" s="7"/>
      <c r="V230" s="7"/>
      <c r="W230" s="7"/>
      <c r="X230" s="7"/>
      <c r="Y230" s="7"/>
      <c r="AC230" s="9" t="s">
        <v>276</v>
      </c>
      <c r="AD230" s="7">
        <f>MODE(AE2:AE214)</f>
        <v>0</v>
      </c>
    </row>
    <row r="231">
      <c r="R231" s="9" t="s">
        <v>277</v>
      </c>
      <c r="S231" s="7">
        <f>MODE(R2:R214)</f>
        <v>100</v>
      </c>
      <c r="T231" s="7"/>
      <c r="U231" s="7"/>
      <c r="V231" s="7"/>
      <c r="W231" s="7"/>
      <c r="X231" s="9" t="s">
        <v>278</v>
      </c>
      <c r="Y231" s="7">
        <f>MODE(X2:X214)</f>
        <v>100</v>
      </c>
      <c r="AC231" s="9" t="s">
        <v>279</v>
      </c>
      <c r="AD231" s="7">
        <f>MODE(AF2:AF214)</f>
        <v>0</v>
      </c>
    </row>
    <row r="232">
      <c r="R232" s="9" t="s">
        <v>280</v>
      </c>
      <c r="S232" s="7">
        <f>MODE(T2:T214)</f>
        <v>0</v>
      </c>
      <c r="T232" s="7"/>
      <c r="U232" s="7"/>
      <c r="V232" s="7"/>
      <c r="W232" s="7"/>
      <c r="X232" s="9" t="s">
        <v>281</v>
      </c>
      <c r="Y232" s="7">
        <f>MODE(Y2:Y214)</f>
        <v>0</v>
      </c>
    </row>
    <row r="233">
      <c r="R233" s="9" t="s">
        <v>282</v>
      </c>
      <c r="S233" s="7">
        <f>MODE(U2:U214)</f>
        <v>0</v>
      </c>
      <c r="T233" s="7"/>
      <c r="U233" s="7"/>
      <c r="V233" s="7"/>
      <c r="W233" s="7"/>
      <c r="X233" s="9" t="s">
        <v>283</v>
      </c>
      <c r="Y233" s="7">
        <f>MODE(Z2:Z214)</f>
        <v>0</v>
      </c>
    </row>
    <row r="234">
      <c r="R234" s="9" t="s">
        <v>284</v>
      </c>
      <c r="S234" s="7">
        <f>MODE(V2:V214)</f>
        <v>0</v>
      </c>
      <c r="T234" s="7"/>
      <c r="U234" s="7"/>
      <c r="V234" s="7"/>
      <c r="W234" s="7"/>
      <c r="X234" s="9" t="s">
        <v>285</v>
      </c>
      <c r="Y234" s="7">
        <f>MODE(AA2:AA214)</f>
        <v>0</v>
      </c>
    </row>
    <row r="235">
      <c r="R235" s="7"/>
      <c r="S235" s="7"/>
      <c r="T235" s="7"/>
      <c r="U235" s="7"/>
      <c r="V235" s="7"/>
      <c r="W235" s="7"/>
    </row>
    <row r="236">
      <c r="R236" s="7"/>
      <c r="S236" s="7"/>
      <c r="T236" s="7"/>
      <c r="U236" s="7"/>
      <c r="V236" s="7"/>
      <c r="W236" s="7"/>
    </row>
    <row r="237">
      <c r="R237" s="9" t="s">
        <v>286</v>
      </c>
      <c r="S237" s="10">
        <f>QUARTILE(R2:R214, 1)</f>
        <v>85.64331096</v>
      </c>
      <c r="T237" s="7"/>
      <c r="U237" s="7"/>
      <c r="V237" s="7"/>
      <c r="W237" s="7"/>
      <c r="X237" s="9" t="s">
        <v>287</v>
      </c>
      <c r="Y237" s="10">
        <f>QUARTILE(X2:X214, 1)</f>
        <v>64.8254211</v>
      </c>
      <c r="AC237" s="9" t="s">
        <v>288</v>
      </c>
      <c r="AD237" s="10">
        <f>QUARTILE(AC2:AC214, 1)</f>
        <v>92.56287752</v>
      </c>
    </row>
    <row r="238">
      <c r="R238" s="9" t="s">
        <v>289</v>
      </c>
      <c r="S238" s="7">
        <f>QUARTILE(R2:R214, 3)</f>
        <v>99.88752524</v>
      </c>
      <c r="T238" s="7"/>
      <c r="U238" s="7"/>
      <c r="V238" s="7"/>
      <c r="W238" s="7"/>
      <c r="X238" s="9" t="s">
        <v>290</v>
      </c>
      <c r="Y238" s="7">
        <f>QUARTILE(X2:X214, 3)</f>
        <v>99.11924249</v>
      </c>
      <c r="AC238" s="9" t="s">
        <v>291</v>
      </c>
      <c r="AD238" s="7">
        <f>QUARTILE(AC2:AC214, 3)</f>
        <v>99.94941803</v>
      </c>
    </row>
    <row r="239">
      <c r="R239" s="9" t="s">
        <v>292</v>
      </c>
      <c r="S239" s="7">
        <f>S238-S237</f>
        <v>14.24421428</v>
      </c>
      <c r="T239" s="7"/>
      <c r="U239" s="7"/>
      <c r="V239" s="7"/>
      <c r="W239" s="7"/>
      <c r="X239" s="9" t="s">
        <v>293</v>
      </c>
      <c r="Y239" s="7">
        <f>Y238-Y237</f>
        <v>34.29382139</v>
      </c>
      <c r="AC239" s="9" t="s">
        <v>294</v>
      </c>
      <c r="AD239" s="7">
        <f>AD238-AD237</f>
        <v>7.38654051</v>
      </c>
    </row>
    <row r="240">
      <c r="R240" s="9" t="s">
        <v>295</v>
      </c>
      <c r="S240" s="7">
        <f>_xlfn.STDEV.S(R2:R214)</f>
        <v>15.0874269</v>
      </c>
      <c r="T240" s="7"/>
      <c r="U240" s="7"/>
      <c r="V240" s="7"/>
      <c r="W240" s="7"/>
      <c r="X240" s="9" t="s">
        <v>296</v>
      </c>
      <c r="Y240" s="7">
        <f>_xlfn.STDEV.S(X2:X214)</f>
        <v>21.50663741</v>
      </c>
      <c r="AC240" s="9" t="s">
        <v>297</v>
      </c>
      <c r="AD240" s="7">
        <f>_xlfn.STDEV.S(AC2:AC214)</f>
        <v>8.03886161</v>
      </c>
    </row>
    <row r="241">
      <c r="R241" s="7"/>
      <c r="S241" s="7"/>
      <c r="T241" s="7"/>
      <c r="U241" s="7"/>
      <c r="V241" s="7"/>
      <c r="W241" s="7"/>
    </row>
    <row r="242">
      <c r="R242" s="9" t="s">
        <v>298</v>
      </c>
      <c r="S242" s="7">
        <f>QUARTILE(T2:T214, 1)</f>
        <v>0</v>
      </c>
      <c r="T242" s="7"/>
      <c r="U242" s="7"/>
      <c r="V242" s="7"/>
      <c r="W242" s="7"/>
      <c r="X242" s="9" t="s">
        <v>299</v>
      </c>
      <c r="Y242" s="7">
        <f>QUARTILE(Y2:Y214, 1)</f>
        <v>0</v>
      </c>
      <c r="AC242" s="9" t="s">
        <v>300</v>
      </c>
      <c r="AD242" s="7">
        <f>QUARTILE(AD2:AD214, 1)</f>
        <v>0</v>
      </c>
    </row>
    <row r="243">
      <c r="R243" s="9" t="s">
        <v>301</v>
      </c>
      <c r="S243" s="7">
        <f>QUARTILE(T2:T214, 3)</f>
        <v>4.851219157</v>
      </c>
      <c r="T243" s="7"/>
      <c r="U243" s="7"/>
      <c r="V243" s="7"/>
      <c r="W243" s="7"/>
      <c r="X243" s="9" t="s">
        <v>302</v>
      </c>
      <c r="Y243" s="7">
        <f>QUARTILE(Y2:Y214, 3)</f>
        <v>8.553175126</v>
      </c>
      <c r="AC243" s="9" t="s">
        <v>303</v>
      </c>
      <c r="AD243" s="7">
        <f>QUARTILE(AD2:AD214, 3)</f>
        <v>3.966347184</v>
      </c>
    </row>
    <row r="244">
      <c r="R244" s="9" t="s">
        <v>304</v>
      </c>
      <c r="S244" s="7">
        <f>S243-S242</f>
        <v>4.851219157</v>
      </c>
      <c r="T244" s="7"/>
      <c r="U244" s="7"/>
      <c r="V244" s="7"/>
      <c r="W244" s="7"/>
      <c r="X244" s="9" t="s">
        <v>305</v>
      </c>
      <c r="Y244" s="7">
        <f>Y243-Y242</f>
        <v>8.553175126</v>
      </c>
      <c r="AC244" s="9" t="s">
        <v>306</v>
      </c>
      <c r="AD244" s="7">
        <f>AD243-AD242</f>
        <v>3.966347184</v>
      </c>
    </row>
    <row r="245">
      <c r="R245" s="9" t="s">
        <v>307</v>
      </c>
      <c r="S245" s="7">
        <f>_xlfn.STDEV.S(T2:T214)</f>
        <v>6.960846633</v>
      </c>
      <c r="T245" s="7"/>
      <c r="U245" s="7"/>
      <c r="V245" s="7"/>
      <c r="W245" s="7"/>
      <c r="X245" s="9" t="s">
        <v>308</v>
      </c>
      <c r="Y245" s="7">
        <f>_xlfn.STDEV.S(Y2:Y214)</f>
        <v>8.704765846</v>
      </c>
      <c r="AC245" s="9" t="s">
        <v>309</v>
      </c>
      <c r="AD245" s="7">
        <f>_xlfn.STDEV.S(AD2:AD214)</f>
        <v>5.63506705</v>
      </c>
    </row>
    <row r="246">
      <c r="R246" s="7"/>
      <c r="S246" s="7"/>
      <c r="T246" s="7"/>
      <c r="U246" s="7"/>
      <c r="V246" s="7"/>
      <c r="W246" s="7"/>
    </row>
    <row r="247">
      <c r="R247" s="9" t="s">
        <v>310</v>
      </c>
      <c r="S247" s="7">
        <f>QUARTILE(U2:U214, 1)</f>
        <v>0.03390622265</v>
      </c>
      <c r="T247" s="7"/>
      <c r="U247" s="7"/>
      <c r="V247" s="7"/>
      <c r="W247" s="7"/>
      <c r="X247" s="9" t="s">
        <v>311</v>
      </c>
      <c r="Y247" s="7">
        <f>QUARTILE(Z2:Z214, 1)</f>
        <v>0.1584109169</v>
      </c>
      <c r="AC247" s="9" t="s">
        <v>312</v>
      </c>
      <c r="AD247" s="7">
        <f>QUARTILE(AE2:AE214, 1)</f>
        <v>0</v>
      </c>
    </row>
    <row r="248">
      <c r="R248" s="9" t="s">
        <v>313</v>
      </c>
      <c r="S248" s="7">
        <f>QUARTILE(U2:U214, 3)</f>
        <v>5.279309922</v>
      </c>
      <c r="T248" s="7"/>
      <c r="U248" s="7"/>
      <c r="V248" s="7"/>
      <c r="W248" s="7"/>
      <c r="X248" s="9" t="s">
        <v>314</v>
      </c>
      <c r="Y248" s="7">
        <f>QUARTILE(Z2:Z214, 3)</f>
        <v>13.2663393</v>
      </c>
      <c r="AC248" s="9" t="s">
        <v>315</v>
      </c>
      <c r="AD248" s="7">
        <f>QUARTILE(AE2:AE214, 3)</f>
        <v>2.059001302</v>
      </c>
    </row>
    <row r="249">
      <c r="R249" s="9" t="s">
        <v>316</v>
      </c>
      <c r="S249" s="7">
        <f>S248-S247</f>
        <v>5.245403699</v>
      </c>
      <c r="T249" s="7"/>
      <c r="U249" s="7"/>
      <c r="V249" s="7"/>
      <c r="W249" s="7"/>
      <c r="X249" s="9" t="s">
        <v>317</v>
      </c>
      <c r="Y249" s="7">
        <f>Y248-Y247</f>
        <v>13.10792838</v>
      </c>
      <c r="AC249" s="9" t="s">
        <v>318</v>
      </c>
      <c r="AD249" s="7">
        <f>AD248-AD247</f>
        <v>2.059001302</v>
      </c>
    </row>
    <row r="250">
      <c r="R250" s="9" t="s">
        <v>319</v>
      </c>
      <c r="S250" s="7">
        <f>_xlfn.STDEV.S(U2:U214)</f>
        <v>7.174477036</v>
      </c>
      <c r="T250" s="7"/>
      <c r="U250" s="7"/>
      <c r="V250" s="7"/>
      <c r="W250" s="7"/>
      <c r="X250" s="9" t="s">
        <v>320</v>
      </c>
      <c r="Y250" s="7">
        <f>_xlfn.STDEV.S(Z2:Z214)</f>
        <v>11.82849434</v>
      </c>
      <c r="AC250" s="9" t="s">
        <v>321</v>
      </c>
      <c r="AD250" s="7">
        <f>_xlfn.STDEV.S(AE2:AE214)</f>
        <v>3.23457032</v>
      </c>
    </row>
    <row r="251">
      <c r="R251" s="7"/>
      <c r="S251" s="7"/>
      <c r="T251" s="7"/>
      <c r="U251" s="7"/>
      <c r="V251" s="7"/>
      <c r="W251" s="7"/>
    </row>
    <row r="252">
      <c r="R252" s="9" t="s">
        <v>322</v>
      </c>
      <c r="S252" s="7">
        <f>QUARTILE(V2:V214, 1)</f>
        <v>0</v>
      </c>
      <c r="T252" s="7"/>
      <c r="U252" s="7"/>
      <c r="V252" s="7"/>
      <c r="W252" s="7"/>
      <c r="X252" s="9" t="s">
        <v>323</v>
      </c>
      <c r="Y252" s="7">
        <f>QUARTILE(AA2:AA214, 1)</f>
        <v>0</v>
      </c>
      <c r="AC252" s="9" t="s">
        <v>324</v>
      </c>
      <c r="AD252" s="7">
        <f>QUARTILE(AF2:AF214, 1)</f>
        <v>0</v>
      </c>
    </row>
    <row r="253">
      <c r="R253" s="9" t="s">
        <v>325</v>
      </c>
      <c r="S253" s="7">
        <f>QUARTILE(V2:V214, 3)</f>
        <v>1.878301993</v>
      </c>
      <c r="T253" s="7"/>
      <c r="U253" s="7"/>
      <c r="V253" s="7"/>
      <c r="W253" s="7"/>
      <c r="X253" s="9" t="s">
        <v>326</v>
      </c>
      <c r="Y253" s="7">
        <f>QUARTILE(AA2:AA214, 3)</f>
        <v>6.157471481</v>
      </c>
      <c r="AC253" s="9" t="s">
        <v>327</v>
      </c>
      <c r="AD253" s="7">
        <f>QUARTILE(AF2:AF214, 3)</f>
        <v>0.1597056849</v>
      </c>
    </row>
    <row r="254">
      <c r="R254" s="9" t="s">
        <v>328</v>
      </c>
      <c r="S254" s="7">
        <f>S253-S252</f>
        <v>1.878301993</v>
      </c>
      <c r="T254" s="7"/>
      <c r="U254" s="7"/>
      <c r="V254" s="7"/>
      <c r="W254" s="7"/>
      <c r="X254" s="9" t="s">
        <v>329</v>
      </c>
      <c r="Y254" s="7">
        <f>Y253-Y252</f>
        <v>6.157471481</v>
      </c>
      <c r="AC254" s="9" t="s">
        <v>330</v>
      </c>
      <c r="AD254" s="7">
        <f>AD253-AD252</f>
        <v>0.1597056849</v>
      </c>
    </row>
    <row r="255">
      <c r="R255" s="9" t="s">
        <v>331</v>
      </c>
      <c r="S255" s="7">
        <f>_xlfn.STDEV.S(V2:V214)</f>
        <v>3.923973987</v>
      </c>
      <c r="T255" s="7"/>
      <c r="U255" s="7"/>
      <c r="V255" s="7"/>
      <c r="W255" s="7"/>
      <c r="X255" s="9" t="s">
        <v>332</v>
      </c>
      <c r="Y255" s="7">
        <f>_xlfn.STDEV.S(AA2:AA214)</f>
        <v>6.847951395</v>
      </c>
      <c r="AC255" s="9" t="s">
        <v>333</v>
      </c>
      <c r="AD255" s="7">
        <f>_xlfn.STDEV.S(AF2:AF214)</f>
        <v>0.8696316426</v>
      </c>
    </row>
    <row r="256">
      <c r="R256" s="7"/>
      <c r="S256" s="7"/>
      <c r="T256" s="7"/>
      <c r="U256" s="7"/>
      <c r="V256" s="7"/>
      <c r="W256" s="7"/>
    </row>
    <row r="257">
      <c r="R257" s="7"/>
      <c r="S257" s="7"/>
      <c r="T257" s="7"/>
      <c r="U257" s="7"/>
      <c r="V257" s="7"/>
      <c r="W257" s="7"/>
    </row>
    <row r="258">
      <c r="R258" s="7"/>
      <c r="S258" s="7"/>
      <c r="T258" s="7"/>
      <c r="U258" s="7"/>
      <c r="V258" s="7"/>
      <c r="W258" s="7"/>
    </row>
    <row r="259">
      <c r="R259" s="7"/>
      <c r="S259" s="7"/>
      <c r="T259" s="7"/>
      <c r="U259" s="7"/>
      <c r="V259" s="7"/>
      <c r="W259" s="7"/>
    </row>
    <row r="260">
      <c r="R260" s="7"/>
      <c r="S260" s="7"/>
      <c r="T260" s="7"/>
      <c r="U260" s="7"/>
      <c r="V260" s="7"/>
      <c r="W260" s="7"/>
    </row>
    <row r="261">
      <c r="R261" s="7"/>
      <c r="S261" s="7"/>
      <c r="T261" s="7"/>
      <c r="U261" s="7"/>
      <c r="V261" s="7"/>
      <c r="W261" s="7"/>
    </row>
    <row r="262">
      <c r="R262" s="7"/>
      <c r="S262" s="7"/>
      <c r="T262" s="7"/>
      <c r="U262" s="7"/>
      <c r="V262" s="7"/>
      <c r="W262" s="7"/>
    </row>
    <row r="263">
      <c r="R263" s="7"/>
      <c r="S263" s="7"/>
      <c r="T263" s="7"/>
      <c r="U263" s="7"/>
      <c r="V263" s="7"/>
      <c r="W263" s="7"/>
    </row>
    <row r="264">
      <c r="R264" s="7"/>
      <c r="S264" s="7"/>
      <c r="T264" s="7"/>
      <c r="U264" s="7"/>
      <c r="V264" s="7"/>
      <c r="W264" s="7"/>
    </row>
    <row r="265">
      <c r="R265" s="7"/>
      <c r="S265" s="7"/>
      <c r="T265" s="7"/>
      <c r="U265" s="7"/>
      <c r="V265" s="7"/>
      <c r="W265" s="7"/>
    </row>
    <row r="266">
      <c r="R266" s="7"/>
      <c r="S266" s="7"/>
      <c r="T266" s="7"/>
      <c r="U266" s="7"/>
      <c r="V266" s="7"/>
      <c r="W266" s="7"/>
    </row>
    <row r="267">
      <c r="R267" s="7"/>
      <c r="S267" s="7"/>
      <c r="T267" s="7"/>
      <c r="U267" s="7"/>
      <c r="V267" s="7"/>
      <c r="W267" s="7"/>
    </row>
    <row r="268">
      <c r="R268" s="7"/>
      <c r="S268" s="7"/>
      <c r="T268" s="7"/>
      <c r="U268" s="7"/>
      <c r="V268" s="7"/>
      <c r="W268" s="7"/>
    </row>
    <row r="269">
      <c r="R269" s="7"/>
      <c r="S269" s="7"/>
      <c r="T269" s="7"/>
      <c r="U269" s="7"/>
      <c r="V269" s="7"/>
      <c r="W269" s="7"/>
    </row>
    <row r="270">
      <c r="R270" s="7"/>
      <c r="S270" s="7"/>
      <c r="T270" s="7"/>
      <c r="U270" s="7"/>
      <c r="V270" s="7"/>
      <c r="W270" s="7"/>
    </row>
    <row r="271">
      <c r="R271" s="7"/>
      <c r="S271" s="7"/>
      <c r="T271" s="7"/>
      <c r="U271" s="7"/>
      <c r="V271" s="7"/>
      <c r="W271" s="7"/>
    </row>
    <row r="272">
      <c r="R272" s="7"/>
      <c r="S272" s="7"/>
      <c r="T272" s="7"/>
      <c r="U272" s="7"/>
      <c r="V272" s="7"/>
      <c r="W272" s="7"/>
    </row>
    <row r="273">
      <c r="R273" s="7"/>
      <c r="S273" s="7"/>
      <c r="T273" s="7"/>
      <c r="U273" s="7"/>
      <c r="V273" s="7"/>
      <c r="W273" s="7"/>
    </row>
    <row r="274">
      <c r="R274" s="7"/>
      <c r="S274" s="7"/>
      <c r="T274" s="7"/>
      <c r="U274" s="7"/>
      <c r="V274" s="7"/>
      <c r="W274" s="7"/>
    </row>
    <row r="275">
      <c r="R275" s="7"/>
      <c r="S275" s="7"/>
      <c r="T275" s="7"/>
      <c r="U275" s="7"/>
      <c r="V275" s="7"/>
      <c r="W275" s="7"/>
    </row>
    <row r="276">
      <c r="R276" s="7"/>
      <c r="S276" s="7"/>
      <c r="T276" s="7"/>
      <c r="U276" s="7"/>
      <c r="V276" s="7"/>
      <c r="W276" s="7"/>
    </row>
    <row r="277">
      <c r="R277" s="7"/>
      <c r="S277" s="7"/>
      <c r="T277" s="7"/>
      <c r="U277" s="7"/>
      <c r="V277" s="7"/>
      <c r="W277" s="7"/>
    </row>
    <row r="278">
      <c r="R278" s="7"/>
      <c r="S278" s="7"/>
      <c r="T278" s="7"/>
      <c r="U278" s="7"/>
      <c r="V278" s="7"/>
      <c r="W278" s="7"/>
    </row>
    <row r="279">
      <c r="R279" s="7"/>
      <c r="S279" s="7"/>
      <c r="T279" s="7"/>
      <c r="U279" s="7"/>
      <c r="V279" s="7"/>
      <c r="W279" s="7"/>
    </row>
    <row r="280">
      <c r="R280" s="7"/>
      <c r="S280" s="7"/>
      <c r="T280" s="7"/>
      <c r="U280" s="7"/>
      <c r="V280" s="7"/>
      <c r="W280" s="7"/>
    </row>
    <row r="281">
      <c r="R281" s="7"/>
      <c r="S281" s="7"/>
      <c r="T281" s="7"/>
      <c r="U281" s="7"/>
      <c r="V281" s="7"/>
      <c r="W281" s="7"/>
    </row>
    <row r="282">
      <c r="R282" s="7"/>
      <c r="S282" s="7"/>
      <c r="T282" s="7"/>
      <c r="U282" s="7"/>
      <c r="V282" s="7"/>
      <c r="W282" s="7"/>
    </row>
    <row r="283">
      <c r="R283" s="7"/>
      <c r="S283" s="7"/>
      <c r="T283" s="7"/>
      <c r="U283" s="7"/>
      <c r="V283" s="7"/>
      <c r="W283" s="7"/>
    </row>
    <row r="284">
      <c r="R284" s="7"/>
      <c r="S284" s="7"/>
      <c r="T284" s="7"/>
      <c r="U284" s="7"/>
      <c r="V284" s="7"/>
      <c r="W284" s="7"/>
    </row>
    <row r="285">
      <c r="R285" s="7"/>
      <c r="S285" s="7"/>
      <c r="T285" s="7"/>
      <c r="U285" s="7"/>
      <c r="V285" s="7"/>
      <c r="W285" s="7"/>
    </row>
    <row r="286">
      <c r="R286" s="7"/>
      <c r="S286" s="7"/>
      <c r="T286" s="7"/>
      <c r="U286" s="7"/>
      <c r="V286" s="7"/>
      <c r="W286" s="7"/>
    </row>
    <row r="287">
      <c r="R287" s="7"/>
      <c r="S287" s="7"/>
      <c r="T287" s="7"/>
      <c r="U287" s="7"/>
      <c r="V287" s="7"/>
      <c r="W287" s="7"/>
    </row>
    <row r="288">
      <c r="R288" s="7"/>
      <c r="S288" s="7"/>
      <c r="T288" s="7"/>
      <c r="U288" s="7"/>
      <c r="V288" s="7"/>
      <c r="W288" s="7"/>
    </row>
    <row r="289">
      <c r="R289" s="7"/>
      <c r="S289" s="7"/>
      <c r="T289" s="7"/>
      <c r="U289" s="7"/>
      <c r="V289" s="7"/>
      <c r="W289" s="7"/>
    </row>
    <row r="290">
      <c r="R290" s="7"/>
      <c r="S290" s="7"/>
      <c r="T290" s="7"/>
      <c r="U290" s="7"/>
      <c r="V290" s="7"/>
      <c r="W290" s="7"/>
    </row>
    <row r="291">
      <c r="R291" s="7"/>
      <c r="S291" s="7"/>
      <c r="T291" s="7"/>
      <c r="U291" s="7"/>
      <c r="V291" s="7"/>
      <c r="W291" s="7"/>
    </row>
    <row r="292">
      <c r="R292" s="7"/>
      <c r="S292" s="7"/>
      <c r="T292" s="7"/>
      <c r="U292" s="7"/>
      <c r="V292" s="7"/>
      <c r="W292" s="7"/>
    </row>
    <row r="293">
      <c r="R293" s="7"/>
      <c r="S293" s="7"/>
      <c r="T293" s="7"/>
      <c r="U293" s="7"/>
      <c r="V293" s="7"/>
      <c r="W293" s="7"/>
    </row>
    <row r="294">
      <c r="R294" s="7"/>
      <c r="S294" s="7"/>
      <c r="T294" s="7"/>
      <c r="U294" s="7"/>
      <c r="V294" s="7"/>
      <c r="W294" s="7"/>
    </row>
    <row r="295">
      <c r="R295" s="7"/>
      <c r="S295" s="7"/>
      <c r="T295" s="7"/>
      <c r="U295" s="7"/>
      <c r="V295" s="7"/>
      <c r="W295" s="7"/>
    </row>
    <row r="296">
      <c r="R296" s="7"/>
      <c r="S296" s="7"/>
      <c r="T296" s="7"/>
      <c r="U296" s="7"/>
      <c r="V296" s="7"/>
      <c r="W296" s="7"/>
    </row>
    <row r="297">
      <c r="R297" s="7"/>
      <c r="S297" s="7"/>
      <c r="T297" s="7"/>
      <c r="U297" s="7"/>
      <c r="V297" s="7"/>
      <c r="W297" s="7"/>
    </row>
    <row r="298">
      <c r="R298" s="7"/>
      <c r="S298" s="7"/>
      <c r="T298" s="7"/>
      <c r="U298" s="7"/>
      <c r="V298" s="7"/>
      <c r="W298" s="7"/>
    </row>
    <row r="299">
      <c r="R299" s="7"/>
      <c r="S299" s="7"/>
      <c r="T299" s="7"/>
      <c r="U299" s="7"/>
      <c r="V299" s="7"/>
      <c r="W299" s="7"/>
    </row>
    <row r="300">
      <c r="R300" s="7"/>
      <c r="S300" s="7"/>
      <c r="T300" s="7"/>
      <c r="U300" s="7"/>
      <c r="V300" s="7"/>
      <c r="W300" s="7"/>
    </row>
    <row r="301">
      <c r="R301" s="7"/>
      <c r="S301" s="7"/>
      <c r="T301" s="7"/>
      <c r="U301" s="7"/>
      <c r="V301" s="7"/>
      <c r="W301" s="7"/>
    </row>
    <row r="302">
      <c r="R302" s="7"/>
      <c r="S302" s="7"/>
      <c r="T302" s="7"/>
      <c r="U302" s="7"/>
      <c r="V302" s="7"/>
      <c r="W302" s="7"/>
    </row>
    <row r="303">
      <c r="R303" s="7"/>
      <c r="S303" s="7"/>
      <c r="T303" s="7"/>
      <c r="U303" s="7"/>
      <c r="V303" s="7"/>
      <c r="W303" s="7"/>
    </row>
    <row r="304">
      <c r="R304" s="7"/>
      <c r="S304" s="7"/>
      <c r="T304" s="7"/>
      <c r="U304" s="7"/>
      <c r="V304" s="7"/>
      <c r="W304" s="7"/>
    </row>
    <row r="305">
      <c r="R305" s="7"/>
      <c r="S305" s="7"/>
      <c r="T305" s="7"/>
      <c r="U305" s="7"/>
      <c r="V305" s="7"/>
      <c r="W305" s="7"/>
    </row>
    <row r="306">
      <c r="R306" s="7"/>
      <c r="S306" s="7"/>
      <c r="T306" s="7"/>
      <c r="U306" s="7"/>
      <c r="V306" s="7"/>
      <c r="W306" s="7"/>
    </row>
    <row r="307">
      <c r="R307" s="7"/>
      <c r="S307" s="7"/>
      <c r="T307" s="7"/>
      <c r="U307" s="7"/>
      <c r="V307" s="7"/>
      <c r="W307" s="7"/>
    </row>
    <row r="308">
      <c r="R308" s="7"/>
      <c r="S308" s="7"/>
      <c r="T308" s="7"/>
      <c r="U308" s="7"/>
      <c r="V308" s="7"/>
      <c r="W308" s="7"/>
    </row>
    <row r="309">
      <c r="R309" s="7"/>
      <c r="S309" s="7"/>
      <c r="T309" s="7"/>
      <c r="U309" s="7"/>
      <c r="V309" s="7"/>
      <c r="W309" s="7"/>
    </row>
    <row r="310">
      <c r="R310" s="7"/>
      <c r="S310" s="7"/>
      <c r="T310" s="7"/>
      <c r="U310" s="7"/>
      <c r="V310" s="7"/>
      <c r="W310" s="7"/>
    </row>
    <row r="311">
      <c r="R311" s="7"/>
      <c r="S311" s="7"/>
      <c r="T311" s="7"/>
      <c r="U311" s="7"/>
      <c r="V311" s="7"/>
      <c r="W311" s="7"/>
    </row>
    <row r="312">
      <c r="R312" s="7"/>
      <c r="S312" s="7"/>
      <c r="T312" s="7"/>
      <c r="U312" s="7"/>
      <c r="V312" s="7"/>
      <c r="W312" s="7"/>
    </row>
    <row r="313">
      <c r="R313" s="7"/>
      <c r="S313" s="7"/>
      <c r="T313" s="7"/>
      <c r="U313" s="7"/>
      <c r="V313" s="7"/>
      <c r="W313" s="7"/>
    </row>
    <row r="314">
      <c r="R314" s="7"/>
      <c r="S314" s="7"/>
      <c r="T314" s="7"/>
      <c r="U314" s="7"/>
      <c r="V314" s="7"/>
      <c r="W314" s="7"/>
    </row>
    <row r="315">
      <c r="R315" s="7"/>
      <c r="S315" s="7"/>
      <c r="T315" s="7"/>
      <c r="U315" s="7"/>
      <c r="V315" s="7"/>
      <c r="W315" s="7"/>
    </row>
    <row r="316">
      <c r="R316" s="7"/>
      <c r="S316" s="7"/>
      <c r="T316" s="7"/>
      <c r="U316" s="7"/>
      <c r="V316" s="7"/>
      <c r="W316" s="7"/>
    </row>
    <row r="317">
      <c r="R317" s="7"/>
      <c r="S317" s="7"/>
      <c r="T317" s="7"/>
      <c r="U317" s="7"/>
      <c r="V317" s="7"/>
      <c r="W317" s="7"/>
    </row>
    <row r="318">
      <c r="R318" s="7"/>
      <c r="S318" s="7"/>
      <c r="T318" s="7"/>
      <c r="U318" s="7"/>
      <c r="V318" s="7"/>
      <c r="W318" s="7"/>
    </row>
    <row r="319">
      <c r="R319" s="7"/>
      <c r="S319" s="7"/>
      <c r="T319" s="7"/>
      <c r="U319" s="7"/>
      <c r="V319" s="7"/>
      <c r="W319" s="7"/>
    </row>
    <row r="320">
      <c r="R320" s="7"/>
      <c r="S320" s="7"/>
      <c r="T320" s="7"/>
      <c r="U320" s="7"/>
      <c r="V320" s="7"/>
      <c r="W320" s="7"/>
    </row>
    <row r="321">
      <c r="R321" s="7"/>
      <c r="S321" s="7"/>
      <c r="T321" s="7"/>
      <c r="U321" s="7"/>
      <c r="V321" s="7"/>
      <c r="W321" s="7"/>
    </row>
    <row r="322">
      <c r="R322" s="7"/>
      <c r="S322" s="7"/>
      <c r="T322" s="7"/>
      <c r="U322" s="7"/>
      <c r="V322" s="7"/>
      <c r="W322" s="7"/>
    </row>
    <row r="323">
      <c r="R323" s="7"/>
      <c r="S323" s="7"/>
      <c r="T323" s="7"/>
      <c r="U323" s="7"/>
      <c r="V323" s="7"/>
      <c r="W323" s="7"/>
    </row>
    <row r="324">
      <c r="R324" s="7"/>
      <c r="S324" s="7"/>
      <c r="T324" s="7"/>
      <c r="U324" s="7"/>
      <c r="V324" s="7"/>
      <c r="W324" s="7"/>
    </row>
    <row r="325">
      <c r="R325" s="7"/>
      <c r="S325" s="7"/>
      <c r="T325" s="7"/>
      <c r="U325" s="7"/>
      <c r="V325" s="7"/>
      <c r="W325" s="7"/>
    </row>
    <row r="326">
      <c r="R326" s="7"/>
      <c r="S326" s="7"/>
      <c r="T326" s="7"/>
      <c r="U326" s="7"/>
      <c r="V326" s="7"/>
      <c r="W326" s="7"/>
    </row>
    <row r="327">
      <c r="R327" s="7"/>
      <c r="S327" s="7"/>
      <c r="T327" s="7"/>
      <c r="U327" s="7"/>
      <c r="V327" s="7"/>
      <c r="W327" s="7"/>
    </row>
    <row r="328">
      <c r="R328" s="7"/>
      <c r="S328" s="7"/>
      <c r="T328" s="7"/>
      <c r="U328" s="7"/>
      <c r="V328" s="7"/>
      <c r="W328" s="7"/>
    </row>
    <row r="329">
      <c r="R329" s="7"/>
      <c r="S329" s="7"/>
      <c r="T329" s="7"/>
      <c r="U329" s="7"/>
      <c r="V329" s="7"/>
      <c r="W329" s="7"/>
    </row>
    <row r="330">
      <c r="R330" s="7"/>
      <c r="S330" s="7"/>
      <c r="T330" s="7"/>
      <c r="U330" s="7"/>
      <c r="V330" s="7"/>
      <c r="W330" s="7"/>
    </row>
    <row r="331">
      <c r="R331" s="7"/>
      <c r="S331" s="7"/>
      <c r="T331" s="7"/>
      <c r="U331" s="7"/>
      <c r="V331" s="7"/>
      <c r="W331" s="7"/>
    </row>
    <row r="332">
      <c r="R332" s="7"/>
      <c r="S332" s="7"/>
      <c r="T332" s="7"/>
      <c r="U332" s="7"/>
      <c r="V332" s="7"/>
      <c r="W332" s="7"/>
    </row>
    <row r="333">
      <c r="R333" s="7"/>
      <c r="S333" s="7"/>
      <c r="T333" s="7"/>
      <c r="U333" s="7"/>
      <c r="V333" s="7"/>
      <c r="W333" s="7"/>
    </row>
    <row r="334">
      <c r="R334" s="7"/>
      <c r="S334" s="7"/>
      <c r="T334" s="7"/>
      <c r="U334" s="7"/>
      <c r="V334" s="7"/>
      <c r="W334" s="7"/>
    </row>
    <row r="335">
      <c r="R335" s="7"/>
      <c r="S335" s="7"/>
      <c r="T335" s="7"/>
      <c r="U335" s="7"/>
      <c r="V335" s="7"/>
      <c r="W335" s="7"/>
    </row>
    <row r="336">
      <c r="R336" s="7"/>
      <c r="S336" s="7"/>
      <c r="T336" s="7"/>
      <c r="U336" s="7"/>
      <c r="V336" s="7"/>
      <c r="W336" s="7"/>
    </row>
    <row r="337">
      <c r="R337" s="7"/>
      <c r="S337" s="7"/>
      <c r="T337" s="7"/>
      <c r="U337" s="7"/>
      <c r="V337" s="7"/>
      <c r="W337" s="7"/>
    </row>
    <row r="338">
      <c r="R338" s="7"/>
      <c r="S338" s="7"/>
      <c r="T338" s="7"/>
      <c r="U338" s="7"/>
      <c r="V338" s="7"/>
      <c r="W338" s="7"/>
    </row>
    <row r="339">
      <c r="R339" s="7"/>
      <c r="S339" s="7"/>
      <c r="T339" s="7"/>
      <c r="U339" s="7"/>
      <c r="V339" s="7"/>
      <c r="W339" s="7"/>
    </row>
    <row r="340">
      <c r="R340" s="7"/>
      <c r="S340" s="7"/>
      <c r="T340" s="7"/>
      <c r="U340" s="7"/>
      <c r="V340" s="7"/>
      <c r="W340" s="7"/>
    </row>
    <row r="341">
      <c r="R341" s="7"/>
      <c r="S341" s="7"/>
      <c r="T341" s="7"/>
      <c r="U341" s="7"/>
      <c r="V341" s="7"/>
      <c r="W341" s="7"/>
    </row>
    <row r="342">
      <c r="R342" s="7"/>
      <c r="S342" s="7"/>
      <c r="T342" s="7"/>
      <c r="U342" s="7"/>
      <c r="V342" s="7"/>
      <c r="W342" s="7"/>
    </row>
    <row r="343">
      <c r="R343" s="7"/>
      <c r="S343" s="7"/>
      <c r="T343" s="7"/>
      <c r="U343" s="7"/>
      <c r="V343" s="7"/>
      <c r="W343" s="7"/>
    </row>
    <row r="344">
      <c r="R344" s="7"/>
      <c r="S344" s="7"/>
      <c r="T344" s="7"/>
      <c r="U344" s="7"/>
      <c r="V344" s="7"/>
      <c r="W344" s="7"/>
    </row>
    <row r="345">
      <c r="R345" s="7"/>
      <c r="S345" s="7"/>
      <c r="T345" s="7"/>
      <c r="U345" s="7"/>
      <c r="V345" s="7"/>
      <c r="W345" s="7"/>
    </row>
    <row r="346">
      <c r="R346" s="7"/>
      <c r="S346" s="7"/>
      <c r="T346" s="7"/>
      <c r="U346" s="7"/>
      <c r="V346" s="7"/>
      <c r="W346" s="7"/>
    </row>
    <row r="347">
      <c r="R347" s="7"/>
      <c r="S347" s="7"/>
      <c r="T347" s="7"/>
      <c r="U347" s="7"/>
      <c r="V347" s="7"/>
      <c r="W347" s="7"/>
    </row>
    <row r="348">
      <c r="R348" s="7"/>
      <c r="S348" s="7"/>
      <c r="T348" s="7"/>
      <c r="U348" s="7"/>
      <c r="V348" s="7"/>
      <c r="W348" s="7"/>
    </row>
    <row r="349">
      <c r="R349" s="7"/>
      <c r="S349" s="7"/>
      <c r="T349" s="7"/>
      <c r="U349" s="7"/>
      <c r="V349" s="7"/>
      <c r="W349" s="7"/>
    </row>
    <row r="350">
      <c r="R350" s="7"/>
      <c r="S350" s="7"/>
      <c r="T350" s="7"/>
      <c r="U350" s="7"/>
      <c r="V350" s="7"/>
      <c r="W350" s="7"/>
    </row>
    <row r="351">
      <c r="R351" s="7"/>
      <c r="S351" s="7"/>
      <c r="T351" s="7"/>
      <c r="U351" s="7"/>
      <c r="V351" s="7"/>
      <c r="W351" s="7"/>
    </row>
    <row r="352">
      <c r="R352" s="7"/>
      <c r="S352" s="7"/>
      <c r="T352" s="7"/>
      <c r="U352" s="7"/>
      <c r="V352" s="7"/>
      <c r="W352" s="7"/>
    </row>
    <row r="353">
      <c r="R353" s="7"/>
      <c r="S353" s="7"/>
      <c r="T353" s="7"/>
      <c r="U353" s="7"/>
      <c r="V353" s="7"/>
      <c r="W353" s="7"/>
    </row>
    <row r="354">
      <c r="R354" s="7"/>
      <c r="S354" s="7"/>
      <c r="T354" s="7"/>
      <c r="U354" s="7"/>
      <c r="V354" s="7"/>
      <c r="W354" s="7"/>
    </row>
    <row r="355">
      <c r="R355" s="7"/>
      <c r="S355" s="7"/>
      <c r="T355" s="7"/>
      <c r="U355" s="7"/>
      <c r="V355" s="7"/>
      <c r="W355" s="7"/>
    </row>
    <row r="356">
      <c r="R356" s="7"/>
      <c r="S356" s="7"/>
      <c r="T356" s="7"/>
      <c r="U356" s="7"/>
      <c r="V356" s="7"/>
      <c r="W356" s="7"/>
    </row>
    <row r="357">
      <c r="R357" s="7"/>
      <c r="S357" s="7"/>
      <c r="T357" s="7"/>
      <c r="U357" s="7"/>
      <c r="V357" s="7"/>
      <c r="W357" s="7"/>
    </row>
    <row r="358">
      <c r="R358" s="7"/>
      <c r="S358" s="7"/>
      <c r="T358" s="7"/>
      <c r="U358" s="7"/>
      <c r="V358" s="7"/>
      <c r="W358" s="7"/>
    </row>
    <row r="359">
      <c r="R359" s="7"/>
      <c r="S359" s="7"/>
      <c r="T359" s="7"/>
      <c r="U359" s="7"/>
      <c r="V359" s="7"/>
      <c r="W359" s="7"/>
    </row>
    <row r="360">
      <c r="R360" s="7"/>
      <c r="S360" s="7"/>
      <c r="T360" s="7"/>
      <c r="U360" s="7"/>
      <c r="V360" s="7"/>
      <c r="W360" s="7"/>
    </row>
    <row r="361">
      <c r="R361" s="7"/>
      <c r="S361" s="7"/>
      <c r="T361" s="7"/>
      <c r="U361" s="7"/>
      <c r="V361" s="7"/>
      <c r="W361" s="7"/>
    </row>
    <row r="362">
      <c r="R362" s="7"/>
      <c r="S362" s="7"/>
      <c r="T362" s="7"/>
      <c r="U362" s="7"/>
      <c r="V362" s="7"/>
      <c r="W362" s="7"/>
    </row>
    <row r="363">
      <c r="R363" s="7"/>
      <c r="S363" s="7"/>
      <c r="T363" s="7"/>
      <c r="U363" s="7"/>
      <c r="V363" s="7"/>
      <c r="W363" s="7"/>
    </row>
    <row r="364">
      <c r="R364" s="7"/>
      <c r="S364" s="7"/>
      <c r="T364" s="7"/>
      <c r="U364" s="7"/>
      <c r="V364" s="7"/>
      <c r="W364" s="7"/>
    </row>
    <row r="365">
      <c r="R365" s="7"/>
      <c r="S365" s="7"/>
      <c r="T365" s="7"/>
      <c r="U365" s="7"/>
      <c r="V365" s="7"/>
      <c r="W365" s="7"/>
    </row>
    <row r="366">
      <c r="R366" s="7"/>
      <c r="S366" s="7"/>
      <c r="T366" s="7"/>
      <c r="U366" s="7"/>
      <c r="V366" s="7"/>
      <c r="W366" s="7"/>
    </row>
    <row r="367">
      <c r="R367" s="7"/>
      <c r="S367" s="7"/>
      <c r="T367" s="7"/>
      <c r="U367" s="7"/>
      <c r="V367" s="7"/>
      <c r="W367" s="7"/>
    </row>
    <row r="368">
      <c r="R368" s="7"/>
      <c r="S368" s="7"/>
      <c r="T368" s="7"/>
      <c r="U368" s="7"/>
      <c r="V368" s="7"/>
      <c r="W368" s="7"/>
    </row>
    <row r="369">
      <c r="R369" s="7"/>
      <c r="S369" s="7"/>
      <c r="T369" s="7"/>
      <c r="U369" s="7"/>
      <c r="V369" s="7"/>
      <c r="W369" s="7"/>
    </row>
    <row r="370">
      <c r="R370" s="7"/>
      <c r="S370" s="7"/>
      <c r="T370" s="7"/>
      <c r="U370" s="7"/>
      <c r="V370" s="7"/>
      <c r="W370" s="7"/>
    </row>
    <row r="371">
      <c r="R371" s="7"/>
      <c r="S371" s="7"/>
      <c r="T371" s="7"/>
      <c r="U371" s="7"/>
      <c r="V371" s="7"/>
      <c r="W371" s="7"/>
    </row>
    <row r="372">
      <c r="R372" s="7"/>
      <c r="S372" s="7"/>
      <c r="T372" s="7"/>
      <c r="U372" s="7"/>
      <c r="V372" s="7"/>
      <c r="W372" s="7"/>
    </row>
    <row r="373">
      <c r="R373" s="7"/>
      <c r="S373" s="7"/>
      <c r="T373" s="7"/>
      <c r="U373" s="7"/>
      <c r="V373" s="7"/>
      <c r="W373" s="7"/>
    </row>
    <row r="374">
      <c r="R374" s="7"/>
      <c r="S374" s="7"/>
      <c r="T374" s="7"/>
      <c r="U374" s="7"/>
      <c r="V374" s="7"/>
      <c r="W374" s="7"/>
    </row>
    <row r="375">
      <c r="R375" s="7"/>
      <c r="S375" s="7"/>
      <c r="T375" s="7"/>
      <c r="U375" s="7"/>
      <c r="V375" s="7"/>
      <c r="W375" s="7"/>
    </row>
    <row r="376">
      <c r="R376" s="7"/>
      <c r="S376" s="7"/>
      <c r="T376" s="7"/>
      <c r="U376" s="7"/>
      <c r="V376" s="7"/>
      <c r="W376" s="7"/>
    </row>
    <row r="377">
      <c r="R377" s="7"/>
      <c r="S377" s="7"/>
      <c r="T377" s="7"/>
      <c r="U377" s="7"/>
      <c r="V377" s="7"/>
      <c r="W377" s="7"/>
    </row>
    <row r="378">
      <c r="R378" s="7"/>
      <c r="S378" s="7"/>
      <c r="T378" s="7"/>
      <c r="U378" s="7"/>
      <c r="V378" s="7"/>
      <c r="W378" s="7"/>
    </row>
    <row r="379">
      <c r="R379" s="7"/>
      <c r="S379" s="7"/>
      <c r="T379" s="7"/>
      <c r="U379" s="7"/>
      <c r="V379" s="7"/>
      <c r="W379" s="7"/>
    </row>
    <row r="380">
      <c r="R380" s="7"/>
      <c r="S380" s="7"/>
      <c r="T380" s="7"/>
      <c r="U380" s="7"/>
      <c r="V380" s="7"/>
      <c r="W380" s="7"/>
    </row>
    <row r="381">
      <c r="R381" s="7"/>
      <c r="S381" s="7"/>
      <c r="T381" s="7"/>
      <c r="U381" s="7"/>
      <c r="V381" s="7"/>
      <c r="W381" s="7"/>
    </row>
    <row r="382">
      <c r="R382" s="7"/>
      <c r="S382" s="7"/>
      <c r="T382" s="7"/>
      <c r="U382" s="7"/>
      <c r="V382" s="7"/>
      <c r="W382" s="7"/>
    </row>
    <row r="383">
      <c r="R383" s="7"/>
      <c r="S383" s="7"/>
      <c r="T383" s="7"/>
      <c r="U383" s="7"/>
      <c r="V383" s="7"/>
      <c r="W383" s="7"/>
    </row>
    <row r="384">
      <c r="R384" s="7"/>
      <c r="S384" s="7"/>
      <c r="T384" s="7"/>
      <c r="U384" s="7"/>
      <c r="V384" s="7"/>
      <c r="W384" s="7"/>
    </row>
    <row r="385">
      <c r="R385" s="7"/>
      <c r="S385" s="7"/>
      <c r="T385" s="7"/>
      <c r="U385" s="7"/>
      <c r="V385" s="7"/>
      <c r="W385" s="7"/>
    </row>
    <row r="386">
      <c r="R386" s="7"/>
      <c r="S386" s="7"/>
      <c r="T386" s="7"/>
      <c r="U386" s="7"/>
      <c r="V386" s="7"/>
      <c r="W386" s="7"/>
    </row>
    <row r="387">
      <c r="R387" s="7"/>
      <c r="S387" s="7"/>
      <c r="T387" s="7"/>
      <c r="U387" s="7"/>
      <c r="V387" s="7"/>
      <c r="W387" s="7"/>
    </row>
    <row r="388">
      <c r="R388" s="7"/>
      <c r="S388" s="7"/>
      <c r="T388" s="7"/>
      <c r="U388" s="7"/>
      <c r="V388" s="7"/>
      <c r="W388" s="7"/>
    </row>
    <row r="389">
      <c r="R389" s="7"/>
      <c r="S389" s="7"/>
      <c r="T389" s="7"/>
      <c r="U389" s="7"/>
      <c r="V389" s="7"/>
      <c r="W389" s="7"/>
    </row>
    <row r="390">
      <c r="R390" s="7"/>
      <c r="S390" s="7"/>
      <c r="T390" s="7"/>
      <c r="U390" s="7"/>
      <c r="V390" s="7"/>
      <c r="W390" s="7"/>
    </row>
    <row r="391">
      <c r="R391" s="7"/>
      <c r="S391" s="7"/>
      <c r="T391" s="7"/>
      <c r="U391" s="7"/>
      <c r="V391" s="7"/>
      <c r="W391" s="7"/>
    </row>
    <row r="392">
      <c r="R392" s="7"/>
      <c r="S392" s="7"/>
      <c r="T392" s="7"/>
      <c r="U392" s="7"/>
      <c r="V392" s="7"/>
      <c r="W392" s="7"/>
    </row>
    <row r="393">
      <c r="R393" s="7"/>
      <c r="S393" s="7"/>
      <c r="T393" s="7"/>
      <c r="U393" s="7"/>
      <c r="V393" s="7"/>
      <c r="W393" s="7"/>
    </row>
    <row r="394">
      <c r="R394" s="7"/>
      <c r="S394" s="7"/>
      <c r="T394" s="7"/>
      <c r="U394" s="7"/>
      <c r="V394" s="7"/>
      <c r="W394" s="7"/>
    </row>
    <row r="395">
      <c r="R395" s="7"/>
      <c r="S395" s="7"/>
      <c r="T395" s="7"/>
      <c r="U395" s="7"/>
      <c r="V395" s="7"/>
      <c r="W395" s="7"/>
    </row>
    <row r="396">
      <c r="R396" s="7"/>
      <c r="S396" s="7"/>
      <c r="T396" s="7"/>
      <c r="U396" s="7"/>
      <c r="V396" s="7"/>
      <c r="W396" s="7"/>
    </row>
    <row r="397">
      <c r="R397" s="7"/>
      <c r="S397" s="7"/>
      <c r="T397" s="7"/>
      <c r="U397" s="7"/>
      <c r="V397" s="7"/>
      <c r="W397" s="7"/>
    </row>
    <row r="398">
      <c r="R398" s="7"/>
      <c r="S398" s="7"/>
      <c r="T398" s="7"/>
      <c r="U398" s="7"/>
      <c r="V398" s="7"/>
      <c r="W398" s="7"/>
    </row>
    <row r="399">
      <c r="R399" s="7"/>
      <c r="S399" s="7"/>
      <c r="T399" s="7"/>
      <c r="U399" s="7"/>
      <c r="V399" s="7"/>
      <c r="W399" s="7"/>
    </row>
    <row r="400">
      <c r="R400" s="7"/>
      <c r="S400" s="7"/>
      <c r="T400" s="7"/>
      <c r="U400" s="7"/>
      <c r="V400" s="7"/>
      <c r="W400" s="7"/>
    </row>
    <row r="401">
      <c r="R401" s="7"/>
      <c r="S401" s="7"/>
      <c r="T401" s="7"/>
      <c r="U401" s="7"/>
      <c r="V401" s="7"/>
      <c r="W401" s="7"/>
    </row>
    <row r="402">
      <c r="R402" s="7"/>
      <c r="S402" s="7"/>
      <c r="T402" s="7"/>
      <c r="U402" s="7"/>
      <c r="V402" s="7"/>
      <c r="W402" s="7"/>
    </row>
    <row r="403">
      <c r="R403" s="7"/>
      <c r="S403" s="7"/>
      <c r="T403" s="7"/>
      <c r="U403" s="7"/>
      <c r="V403" s="7"/>
      <c r="W403" s="7"/>
    </row>
    <row r="404">
      <c r="R404" s="7"/>
      <c r="S404" s="7"/>
      <c r="T404" s="7"/>
      <c r="U404" s="7"/>
      <c r="V404" s="7"/>
      <c r="W404" s="7"/>
    </row>
    <row r="405">
      <c r="R405" s="7"/>
      <c r="S405" s="7"/>
      <c r="T405" s="7"/>
      <c r="U405" s="7"/>
      <c r="V405" s="7"/>
      <c r="W405" s="7"/>
    </row>
    <row r="406">
      <c r="R406" s="7"/>
      <c r="S406" s="7"/>
      <c r="T406" s="7"/>
      <c r="U406" s="7"/>
      <c r="V406" s="7"/>
      <c r="W406" s="7"/>
    </row>
    <row r="407">
      <c r="R407" s="7"/>
      <c r="S407" s="7"/>
      <c r="T407" s="7"/>
      <c r="U407" s="7"/>
      <c r="V407" s="7"/>
      <c r="W407" s="7"/>
    </row>
    <row r="408">
      <c r="R408" s="7"/>
      <c r="S408" s="7"/>
      <c r="T408" s="7"/>
      <c r="U408" s="7"/>
      <c r="V408" s="7"/>
      <c r="W408" s="7"/>
    </row>
    <row r="409">
      <c r="R409" s="7"/>
      <c r="S409" s="7"/>
      <c r="T409" s="7"/>
      <c r="U409" s="7"/>
      <c r="V409" s="7"/>
      <c r="W409" s="7"/>
    </row>
    <row r="410">
      <c r="R410" s="7"/>
      <c r="S410" s="7"/>
      <c r="T410" s="7"/>
      <c r="U410" s="7"/>
      <c r="V410" s="7"/>
      <c r="W410" s="7"/>
    </row>
    <row r="411">
      <c r="R411" s="7"/>
      <c r="S411" s="7"/>
      <c r="T411" s="7"/>
      <c r="U411" s="7"/>
      <c r="V411" s="7"/>
      <c r="W411" s="7"/>
    </row>
    <row r="412">
      <c r="R412" s="7"/>
      <c r="S412" s="7"/>
      <c r="T412" s="7"/>
      <c r="U412" s="7"/>
      <c r="V412" s="7"/>
      <c r="W412" s="7"/>
    </row>
    <row r="413">
      <c r="R413" s="7"/>
      <c r="S413" s="7"/>
      <c r="T413" s="7"/>
      <c r="U413" s="7"/>
      <c r="V413" s="7"/>
      <c r="W413" s="7"/>
    </row>
    <row r="414">
      <c r="R414" s="7"/>
      <c r="S414" s="7"/>
      <c r="T414" s="7"/>
      <c r="U414" s="7"/>
      <c r="V414" s="7"/>
      <c r="W414" s="7"/>
    </row>
    <row r="415">
      <c r="R415" s="7"/>
      <c r="S415" s="7"/>
      <c r="T415" s="7"/>
      <c r="U415" s="7"/>
      <c r="V415" s="7"/>
      <c r="W415" s="7"/>
    </row>
    <row r="416">
      <c r="R416" s="7"/>
      <c r="S416" s="7"/>
      <c r="T416" s="7"/>
      <c r="U416" s="7"/>
      <c r="V416" s="7"/>
      <c r="W416" s="7"/>
    </row>
    <row r="417">
      <c r="R417" s="7"/>
      <c r="S417" s="7"/>
      <c r="T417" s="7"/>
      <c r="U417" s="7"/>
      <c r="V417" s="7"/>
      <c r="W417" s="7"/>
    </row>
    <row r="418">
      <c r="R418" s="7"/>
      <c r="S418" s="7"/>
      <c r="T418" s="7"/>
      <c r="U418" s="7"/>
      <c r="V418" s="7"/>
      <c r="W418" s="7"/>
    </row>
    <row r="419">
      <c r="R419" s="7"/>
      <c r="S419" s="7"/>
      <c r="T419" s="7"/>
      <c r="U419" s="7"/>
      <c r="V419" s="7"/>
      <c r="W419" s="7"/>
    </row>
    <row r="420">
      <c r="R420" s="7"/>
      <c r="S420" s="7"/>
      <c r="T420" s="7"/>
      <c r="U420" s="7"/>
      <c r="V420" s="7"/>
      <c r="W420" s="7"/>
    </row>
    <row r="421">
      <c r="R421" s="7"/>
      <c r="S421" s="7"/>
      <c r="T421" s="7"/>
      <c r="U421" s="7"/>
      <c r="V421" s="7"/>
      <c r="W421" s="7"/>
    </row>
    <row r="422">
      <c r="R422" s="7"/>
      <c r="S422" s="7"/>
      <c r="T422" s="7"/>
      <c r="U422" s="7"/>
      <c r="V422" s="7"/>
      <c r="W422" s="7"/>
    </row>
    <row r="423">
      <c r="R423" s="7"/>
      <c r="S423" s="7"/>
      <c r="T423" s="7"/>
      <c r="U423" s="7"/>
      <c r="V423" s="7"/>
      <c r="W423" s="7"/>
    </row>
    <row r="424">
      <c r="R424" s="7"/>
      <c r="S424" s="7"/>
      <c r="T424" s="7"/>
      <c r="U424" s="7"/>
      <c r="V424" s="7"/>
      <c r="W424" s="7"/>
    </row>
    <row r="425">
      <c r="R425" s="7"/>
      <c r="S425" s="7"/>
      <c r="T425" s="7"/>
      <c r="U425" s="7"/>
      <c r="V425" s="7"/>
      <c r="W425" s="7"/>
    </row>
    <row r="426">
      <c r="R426" s="7"/>
      <c r="S426" s="7"/>
      <c r="T426" s="7"/>
      <c r="U426" s="7"/>
      <c r="V426" s="7"/>
      <c r="W426" s="7"/>
    </row>
    <row r="427">
      <c r="R427" s="7"/>
      <c r="S427" s="7"/>
      <c r="T427" s="7"/>
      <c r="U427" s="7"/>
      <c r="V427" s="7"/>
      <c r="W427" s="7"/>
    </row>
    <row r="428">
      <c r="R428" s="7"/>
      <c r="S428" s="7"/>
      <c r="T428" s="7"/>
      <c r="U428" s="7"/>
      <c r="V428" s="7"/>
      <c r="W428" s="7"/>
    </row>
    <row r="429">
      <c r="R429" s="7"/>
      <c r="S429" s="7"/>
      <c r="T429" s="7"/>
      <c r="U429" s="7"/>
      <c r="V429" s="7"/>
      <c r="W429" s="7"/>
    </row>
    <row r="430">
      <c r="R430" s="7"/>
      <c r="S430" s="7"/>
      <c r="T430" s="7"/>
      <c r="U430" s="7"/>
      <c r="V430" s="7"/>
      <c r="W430" s="7"/>
    </row>
    <row r="431">
      <c r="R431" s="7"/>
      <c r="S431" s="7"/>
      <c r="T431" s="7"/>
      <c r="U431" s="7"/>
      <c r="V431" s="7"/>
      <c r="W431" s="7"/>
    </row>
    <row r="432">
      <c r="R432" s="7"/>
      <c r="S432" s="7"/>
      <c r="T432" s="7"/>
      <c r="U432" s="7"/>
      <c r="V432" s="7"/>
      <c r="W432" s="7"/>
    </row>
    <row r="433">
      <c r="R433" s="7"/>
      <c r="S433" s="7"/>
      <c r="T433" s="7"/>
      <c r="U433" s="7"/>
      <c r="V433" s="7"/>
      <c r="W433" s="7"/>
    </row>
    <row r="434">
      <c r="R434" s="7"/>
      <c r="S434" s="7"/>
      <c r="T434" s="7"/>
      <c r="U434" s="7"/>
      <c r="V434" s="7"/>
      <c r="W434" s="7"/>
    </row>
    <row r="435">
      <c r="R435" s="7"/>
      <c r="S435" s="7"/>
      <c r="T435" s="7"/>
      <c r="U435" s="7"/>
      <c r="V435" s="7"/>
      <c r="W435" s="7"/>
    </row>
    <row r="436">
      <c r="R436" s="7"/>
      <c r="S436" s="7"/>
      <c r="T436" s="7"/>
      <c r="U436" s="7"/>
      <c r="V436" s="7"/>
      <c r="W436" s="7"/>
    </row>
    <row r="437">
      <c r="R437" s="7"/>
      <c r="S437" s="7"/>
      <c r="T437" s="7"/>
      <c r="U437" s="7"/>
      <c r="V437" s="7"/>
      <c r="W437" s="7"/>
    </row>
    <row r="438">
      <c r="R438" s="7"/>
      <c r="S438" s="7"/>
      <c r="T438" s="7"/>
      <c r="U438" s="7"/>
      <c r="V438" s="7"/>
      <c r="W438" s="7"/>
    </row>
    <row r="439">
      <c r="R439" s="7"/>
      <c r="S439" s="7"/>
      <c r="T439" s="7"/>
      <c r="U439" s="7"/>
      <c r="V439" s="7"/>
      <c r="W439" s="7"/>
    </row>
    <row r="440">
      <c r="R440" s="7"/>
      <c r="S440" s="7"/>
      <c r="T440" s="7"/>
      <c r="U440" s="7"/>
      <c r="V440" s="7"/>
      <c r="W440" s="7"/>
    </row>
    <row r="441">
      <c r="R441" s="7"/>
      <c r="S441" s="7"/>
      <c r="T441" s="7"/>
      <c r="U441" s="7"/>
      <c r="V441" s="7"/>
      <c r="W441" s="7"/>
    </row>
    <row r="442">
      <c r="R442" s="7"/>
      <c r="S442" s="7"/>
      <c r="T442" s="7"/>
      <c r="U442" s="7"/>
      <c r="V442" s="7"/>
      <c r="W442" s="7"/>
    </row>
    <row r="443">
      <c r="R443" s="7"/>
      <c r="S443" s="7"/>
      <c r="T443" s="7"/>
      <c r="U443" s="7"/>
      <c r="V443" s="7"/>
      <c r="W443" s="7"/>
    </row>
    <row r="444">
      <c r="R444" s="7"/>
      <c r="S444" s="7"/>
      <c r="T444" s="7"/>
      <c r="U444" s="7"/>
      <c r="V444" s="7"/>
      <c r="W444" s="7"/>
    </row>
    <row r="445">
      <c r="R445" s="7"/>
      <c r="S445" s="7"/>
      <c r="T445" s="7"/>
      <c r="U445" s="7"/>
      <c r="V445" s="7"/>
      <c r="W445" s="7"/>
    </row>
    <row r="446">
      <c r="R446" s="7"/>
      <c r="S446" s="7"/>
      <c r="T446" s="7"/>
      <c r="U446" s="7"/>
      <c r="V446" s="7"/>
      <c r="W446" s="7"/>
    </row>
    <row r="447">
      <c r="R447" s="7"/>
      <c r="S447" s="7"/>
      <c r="T447" s="7"/>
      <c r="U447" s="7"/>
      <c r="V447" s="7"/>
      <c r="W447" s="7"/>
    </row>
    <row r="448">
      <c r="R448" s="7"/>
      <c r="S448" s="7"/>
      <c r="T448" s="7"/>
      <c r="U448" s="7"/>
      <c r="V448" s="7"/>
      <c r="W448" s="7"/>
    </row>
    <row r="449">
      <c r="R449" s="7"/>
      <c r="S449" s="7"/>
      <c r="T449" s="7"/>
      <c r="U449" s="7"/>
      <c r="V449" s="7"/>
      <c r="W449" s="7"/>
    </row>
    <row r="450">
      <c r="R450" s="7"/>
      <c r="S450" s="7"/>
      <c r="T450" s="7"/>
      <c r="U450" s="7"/>
      <c r="V450" s="7"/>
      <c r="W450" s="7"/>
    </row>
    <row r="451">
      <c r="R451" s="7"/>
      <c r="S451" s="7"/>
      <c r="T451" s="7"/>
      <c r="U451" s="7"/>
      <c r="V451" s="7"/>
      <c r="W451" s="7"/>
    </row>
    <row r="452">
      <c r="R452" s="7"/>
      <c r="S452" s="7"/>
      <c r="T452" s="7"/>
      <c r="U452" s="7"/>
      <c r="V452" s="7"/>
      <c r="W452" s="7"/>
    </row>
    <row r="453">
      <c r="R453" s="7"/>
      <c r="S453" s="7"/>
      <c r="T453" s="7"/>
      <c r="U453" s="7"/>
      <c r="V453" s="7"/>
      <c r="W453" s="7"/>
    </row>
    <row r="454">
      <c r="R454" s="7"/>
      <c r="S454" s="7"/>
      <c r="T454" s="7"/>
      <c r="U454" s="7"/>
      <c r="V454" s="7"/>
      <c r="W454" s="7"/>
    </row>
    <row r="455">
      <c r="R455" s="7"/>
      <c r="S455" s="7"/>
      <c r="T455" s="7"/>
      <c r="U455" s="7"/>
      <c r="V455" s="7"/>
      <c r="W455" s="7"/>
    </row>
    <row r="456">
      <c r="R456" s="7"/>
      <c r="S456" s="7"/>
      <c r="T456" s="7"/>
      <c r="U456" s="7"/>
      <c r="V456" s="7"/>
      <c r="W456" s="7"/>
    </row>
    <row r="457">
      <c r="R457" s="7"/>
      <c r="S457" s="7"/>
      <c r="T457" s="7"/>
      <c r="U457" s="7"/>
      <c r="V457" s="7"/>
      <c r="W457" s="7"/>
    </row>
    <row r="458">
      <c r="R458" s="7"/>
      <c r="S458" s="7"/>
      <c r="T458" s="7"/>
      <c r="U458" s="7"/>
      <c r="V458" s="7"/>
      <c r="W458" s="7"/>
    </row>
    <row r="459">
      <c r="R459" s="7"/>
      <c r="S459" s="7"/>
      <c r="T459" s="7"/>
      <c r="U459" s="7"/>
      <c r="V459" s="7"/>
      <c r="W459" s="7"/>
    </row>
    <row r="460">
      <c r="R460" s="7"/>
      <c r="S460" s="7"/>
      <c r="T460" s="7"/>
      <c r="U460" s="7"/>
      <c r="V460" s="7"/>
      <c r="W460" s="7"/>
    </row>
    <row r="461">
      <c r="R461" s="7"/>
      <c r="S461" s="7"/>
      <c r="T461" s="7"/>
      <c r="U461" s="7"/>
      <c r="V461" s="7"/>
      <c r="W461" s="7"/>
    </row>
    <row r="462">
      <c r="R462" s="7"/>
      <c r="S462" s="7"/>
      <c r="T462" s="7"/>
      <c r="U462" s="7"/>
      <c r="V462" s="7"/>
      <c r="W462" s="7"/>
    </row>
    <row r="463">
      <c r="R463" s="7"/>
      <c r="S463" s="7"/>
      <c r="T463" s="7"/>
      <c r="U463" s="7"/>
      <c r="V463" s="7"/>
      <c r="W463" s="7"/>
    </row>
    <row r="464">
      <c r="R464" s="7"/>
      <c r="S464" s="7"/>
      <c r="T464" s="7"/>
      <c r="U464" s="7"/>
      <c r="V464" s="7"/>
      <c r="W464" s="7"/>
    </row>
    <row r="465">
      <c r="R465" s="7"/>
      <c r="S465" s="7"/>
      <c r="T465" s="7"/>
      <c r="U465" s="7"/>
      <c r="V465" s="7"/>
      <c r="W465" s="7"/>
    </row>
    <row r="466">
      <c r="R466" s="7"/>
      <c r="S466" s="7"/>
      <c r="T466" s="7"/>
      <c r="U466" s="7"/>
      <c r="V466" s="7"/>
      <c r="W466" s="7"/>
    </row>
    <row r="467">
      <c r="R467" s="7"/>
      <c r="S467" s="7"/>
      <c r="T467" s="7"/>
      <c r="U467" s="7"/>
      <c r="V467" s="7"/>
      <c r="W467" s="7"/>
    </row>
    <row r="468">
      <c r="R468" s="7"/>
      <c r="S468" s="7"/>
      <c r="T468" s="7"/>
      <c r="U468" s="7"/>
      <c r="V468" s="7"/>
      <c r="W468" s="7"/>
    </row>
    <row r="469">
      <c r="R469" s="7"/>
      <c r="S469" s="7"/>
      <c r="T469" s="7"/>
      <c r="U469" s="7"/>
      <c r="V469" s="7"/>
      <c r="W469" s="7"/>
    </row>
    <row r="470">
      <c r="R470" s="7"/>
      <c r="S470" s="7"/>
      <c r="T470" s="7"/>
      <c r="U470" s="7"/>
      <c r="V470" s="7"/>
      <c r="W470" s="7"/>
    </row>
    <row r="471">
      <c r="R471" s="7"/>
      <c r="S471" s="7"/>
      <c r="T471" s="7"/>
      <c r="U471" s="7"/>
      <c r="V471" s="7"/>
      <c r="W471" s="7"/>
    </row>
    <row r="472">
      <c r="R472" s="7"/>
      <c r="S472" s="7"/>
      <c r="T472" s="7"/>
      <c r="U472" s="7"/>
      <c r="V472" s="7"/>
      <c r="W472" s="7"/>
    </row>
    <row r="473">
      <c r="R473" s="7"/>
      <c r="S473" s="7"/>
      <c r="T473" s="7"/>
      <c r="U473" s="7"/>
      <c r="V473" s="7"/>
      <c r="W473" s="7"/>
    </row>
    <row r="474">
      <c r="R474" s="7"/>
      <c r="S474" s="7"/>
      <c r="T474" s="7"/>
      <c r="U474" s="7"/>
      <c r="V474" s="7"/>
      <c r="W474" s="7"/>
    </row>
    <row r="475">
      <c r="R475" s="7"/>
      <c r="S475" s="7"/>
      <c r="T475" s="7"/>
      <c r="U475" s="7"/>
      <c r="V475" s="7"/>
      <c r="W475" s="7"/>
    </row>
    <row r="476">
      <c r="R476" s="7"/>
      <c r="S476" s="7"/>
      <c r="T476" s="7"/>
      <c r="U476" s="7"/>
      <c r="V476" s="7"/>
      <c r="W476" s="7"/>
    </row>
    <row r="477">
      <c r="R477" s="7"/>
      <c r="S477" s="7"/>
      <c r="T477" s="7"/>
      <c r="U477" s="7"/>
      <c r="V477" s="7"/>
      <c r="W477" s="7"/>
    </row>
    <row r="478">
      <c r="R478" s="7"/>
      <c r="S478" s="7"/>
      <c r="T478" s="7"/>
      <c r="U478" s="7"/>
      <c r="V478" s="7"/>
      <c r="W478" s="7"/>
    </row>
    <row r="479">
      <c r="R479" s="7"/>
      <c r="S479" s="7"/>
      <c r="T479" s="7"/>
      <c r="U479" s="7"/>
      <c r="V479" s="7"/>
      <c r="W479" s="7"/>
    </row>
    <row r="480">
      <c r="R480" s="7"/>
      <c r="S480" s="7"/>
      <c r="T480" s="7"/>
      <c r="U480" s="7"/>
      <c r="V480" s="7"/>
      <c r="W480" s="7"/>
    </row>
    <row r="481">
      <c r="R481" s="7"/>
      <c r="S481" s="7"/>
      <c r="T481" s="7"/>
      <c r="U481" s="7"/>
      <c r="V481" s="7"/>
      <c r="W481" s="7"/>
    </row>
    <row r="482">
      <c r="R482" s="7"/>
      <c r="S482" s="7"/>
      <c r="T482" s="7"/>
      <c r="U482" s="7"/>
      <c r="V482" s="7"/>
      <c r="W482" s="7"/>
    </row>
    <row r="483">
      <c r="R483" s="7"/>
      <c r="S483" s="7"/>
      <c r="T483" s="7"/>
      <c r="U483" s="7"/>
      <c r="V483" s="7"/>
      <c r="W483" s="7"/>
    </row>
    <row r="484">
      <c r="R484" s="7"/>
      <c r="S484" s="7"/>
      <c r="T484" s="7"/>
      <c r="U484" s="7"/>
      <c r="V484" s="7"/>
      <c r="W484" s="7"/>
    </row>
    <row r="485">
      <c r="R485" s="7"/>
      <c r="S485" s="7"/>
      <c r="T485" s="7"/>
      <c r="U485" s="7"/>
      <c r="V485" s="7"/>
      <c r="W485" s="7"/>
    </row>
    <row r="486">
      <c r="R486" s="7"/>
      <c r="S486" s="7"/>
      <c r="T486" s="7"/>
      <c r="U486" s="7"/>
      <c r="V486" s="7"/>
      <c r="W486" s="7"/>
    </row>
    <row r="487">
      <c r="R487" s="7"/>
      <c r="S487" s="7"/>
      <c r="T487" s="7"/>
      <c r="U487" s="7"/>
      <c r="V487" s="7"/>
      <c r="W487" s="7"/>
    </row>
    <row r="488">
      <c r="R488" s="7"/>
      <c r="S488" s="7"/>
      <c r="T488" s="7"/>
      <c r="U488" s="7"/>
      <c r="V488" s="7"/>
      <c r="W488" s="7"/>
    </row>
    <row r="489">
      <c r="R489" s="7"/>
      <c r="S489" s="7"/>
      <c r="T489" s="7"/>
      <c r="U489" s="7"/>
      <c r="V489" s="7"/>
      <c r="W489" s="7"/>
    </row>
    <row r="490">
      <c r="R490" s="7"/>
      <c r="S490" s="7"/>
      <c r="T490" s="7"/>
      <c r="U490" s="7"/>
      <c r="V490" s="7"/>
      <c r="W490" s="7"/>
    </row>
    <row r="491">
      <c r="R491" s="7"/>
      <c r="S491" s="7"/>
      <c r="T491" s="7"/>
      <c r="U491" s="7"/>
      <c r="V491" s="7"/>
      <c r="W491" s="7"/>
    </row>
    <row r="492">
      <c r="R492" s="7"/>
      <c r="S492" s="7"/>
      <c r="T492" s="7"/>
      <c r="U492" s="7"/>
      <c r="V492" s="7"/>
      <c r="W492" s="7"/>
    </row>
    <row r="493">
      <c r="R493" s="7"/>
      <c r="S493" s="7"/>
      <c r="T493" s="7"/>
      <c r="U493" s="7"/>
      <c r="V493" s="7"/>
      <c r="W493" s="7"/>
    </row>
    <row r="494">
      <c r="R494" s="7"/>
      <c r="S494" s="7"/>
      <c r="T494" s="7"/>
      <c r="U494" s="7"/>
      <c r="V494" s="7"/>
      <c r="W494" s="7"/>
    </row>
    <row r="495">
      <c r="R495" s="7"/>
      <c r="S495" s="7"/>
      <c r="T495" s="7"/>
      <c r="U495" s="7"/>
      <c r="V495" s="7"/>
      <c r="W495" s="7"/>
    </row>
    <row r="496">
      <c r="R496" s="7"/>
      <c r="S496" s="7"/>
      <c r="T496" s="7"/>
      <c r="U496" s="7"/>
      <c r="V496" s="7"/>
      <c r="W496" s="7"/>
    </row>
    <row r="497">
      <c r="R497" s="7"/>
      <c r="S497" s="7"/>
      <c r="T497" s="7"/>
      <c r="U497" s="7"/>
      <c r="V497" s="7"/>
      <c r="W497" s="7"/>
    </row>
    <row r="498">
      <c r="R498" s="7"/>
      <c r="S498" s="7"/>
      <c r="T498" s="7"/>
      <c r="U498" s="7"/>
      <c r="V498" s="7"/>
      <c r="W498" s="7"/>
    </row>
    <row r="499">
      <c r="R499" s="7"/>
      <c r="S499" s="7"/>
      <c r="T499" s="7"/>
      <c r="U499" s="7"/>
      <c r="V499" s="7"/>
      <c r="W499" s="7"/>
    </row>
    <row r="500">
      <c r="R500" s="7"/>
      <c r="S500" s="7"/>
      <c r="T500" s="7"/>
      <c r="U500" s="7"/>
      <c r="V500" s="7"/>
      <c r="W500" s="7"/>
    </row>
    <row r="501">
      <c r="R501" s="7"/>
      <c r="S501" s="7"/>
      <c r="T501" s="7"/>
      <c r="U501" s="7"/>
      <c r="V501" s="7"/>
      <c r="W501" s="7"/>
    </row>
    <row r="502">
      <c r="R502" s="7"/>
      <c r="S502" s="7"/>
      <c r="T502" s="7"/>
      <c r="U502" s="7"/>
      <c r="V502" s="7"/>
      <c r="W502" s="7"/>
    </row>
    <row r="503">
      <c r="R503" s="7"/>
      <c r="S503" s="7"/>
      <c r="T503" s="7"/>
      <c r="U503" s="7"/>
      <c r="V503" s="7"/>
      <c r="W503" s="7"/>
    </row>
    <row r="504">
      <c r="R504" s="7"/>
      <c r="S504" s="7"/>
      <c r="T504" s="7"/>
      <c r="U504" s="7"/>
      <c r="V504" s="7"/>
      <c r="W504" s="7"/>
    </row>
    <row r="505">
      <c r="R505" s="7"/>
      <c r="S505" s="7"/>
      <c r="T505" s="7"/>
      <c r="U505" s="7"/>
      <c r="V505" s="7"/>
      <c r="W505" s="7"/>
    </row>
    <row r="506">
      <c r="R506" s="7"/>
      <c r="S506" s="7"/>
      <c r="T506" s="7"/>
      <c r="U506" s="7"/>
      <c r="V506" s="7"/>
      <c r="W506" s="7"/>
    </row>
    <row r="507">
      <c r="R507" s="7"/>
      <c r="S507" s="7"/>
      <c r="T507" s="7"/>
      <c r="U507" s="7"/>
      <c r="V507" s="7"/>
      <c r="W507" s="7"/>
    </row>
    <row r="508">
      <c r="R508" s="7"/>
      <c r="S508" s="7"/>
      <c r="T508" s="7"/>
      <c r="U508" s="7"/>
      <c r="V508" s="7"/>
      <c r="W508" s="7"/>
    </row>
    <row r="509">
      <c r="R509" s="7"/>
      <c r="S509" s="7"/>
      <c r="T509" s="7"/>
      <c r="U509" s="7"/>
      <c r="V509" s="7"/>
      <c r="W509" s="7"/>
    </row>
    <row r="510">
      <c r="R510" s="7"/>
      <c r="S510" s="7"/>
      <c r="T510" s="7"/>
      <c r="U510" s="7"/>
      <c r="V510" s="7"/>
      <c r="W510" s="7"/>
    </row>
    <row r="511">
      <c r="R511" s="7"/>
      <c r="S511" s="7"/>
      <c r="T511" s="7"/>
      <c r="U511" s="7"/>
      <c r="V511" s="7"/>
      <c r="W511" s="7"/>
    </row>
    <row r="512">
      <c r="R512" s="7"/>
      <c r="S512" s="7"/>
      <c r="T512" s="7"/>
      <c r="U512" s="7"/>
      <c r="V512" s="7"/>
      <c r="W512" s="7"/>
    </row>
    <row r="513">
      <c r="R513" s="7"/>
      <c r="S513" s="7"/>
      <c r="T513" s="7"/>
      <c r="U513" s="7"/>
      <c r="V513" s="7"/>
      <c r="W513" s="7"/>
    </row>
    <row r="514">
      <c r="R514" s="7"/>
      <c r="S514" s="7"/>
      <c r="T514" s="7"/>
      <c r="U514" s="7"/>
      <c r="V514" s="7"/>
      <c r="W514" s="7"/>
    </row>
    <row r="515">
      <c r="R515" s="7"/>
      <c r="S515" s="7"/>
      <c r="T515" s="7"/>
      <c r="U515" s="7"/>
      <c r="V515" s="7"/>
      <c r="W515" s="7"/>
    </row>
    <row r="516">
      <c r="R516" s="7"/>
      <c r="S516" s="7"/>
      <c r="T516" s="7"/>
      <c r="U516" s="7"/>
      <c r="V516" s="7"/>
      <c r="W516" s="7"/>
    </row>
    <row r="517">
      <c r="R517" s="7"/>
      <c r="S517" s="7"/>
      <c r="T517" s="7"/>
      <c r="U517" s="7"/>
      <c r="V517" s="7"/>
      <c r="W517" s="7"/>
    </row>
    <row r="518">
      <c r="R518" s="7"/>
      <c r="S518" s="7"/>
      <c r="T518" s="7"/>
      <c r="U518" s="7"/>
      <c r="V518" s="7"/>
      <c r="W518" s="7"/>
    </row>
    <row r="519">
      <c r="R519" s="7"/>
      <c r="S519" s="7"/>
      <c r="T519" s="7"/>
      <c r="U519" s="7"/>
      <c r="V519" s="7"/>
      <c r="W519" s="7"/>
    </row>
    <row r="520">
      <c r="R520" s="7"/>
      <c r="S520" s="7"/>
      <c r="T520" s="7"/>
      <c r="U520" s="7"/>
      <c r="V520" s="7"/>
      <c r="W520" s="7"/>
    </row>
    <row r="521">
      <c r="R521" s="7"/>
      <c r="S521" s="7"/>
      <c r="T521" s="7"/>
      <c r="U521" s="7"/>
      <c r="V521" s="7"/>
      <c r="W521" s="7"/>
    </row>
    <row r="522">
      <c r="R522" s="7"/>
      <c r="S522" s="7"/>
      <c r="T522" s="7"/>
      <c r="U522" s="7"/>
      <c r="V522" s="7"/>
      <c r="W522" s="7"/>
    </row>
    <row r="523">
      <c r="R523" s="7"/>
      <c r="S523" s="7"/>
      <c r="T523" s="7"/>
      <c r="U523" s="7"/>
      <c r="V523" s="7"/>
      <c r="W523" s="7"/>
    </row>
    <row r="524">
      <c r="R524" s="7"/>
      <c r="S524" s="7"/>
      <c r="T524" s="7"/>
      <c r="U524" s="7"/>
      <c r="V524" s="7"/>
      <c r="W524" s="7"/>
    </row>
    <row r="525">
      <c r="R525" s="7"/>
      <c r="S525" s="7"/>
      <c r="T525" s="7"/>
      <c r="U525" s="7"/>
      <c r="V525" s="7"/>
      <c r="W525" s="7"/>
    </row>
    <row r="526">
      <c r="R526" s="7"/>
      <c r="S526" s="7"/>
      <c r="T526" s="7"/>
      <c r="U526" s="7"/>
      <c r="V526" s="7"/>
      <c r="W526" s="7"/>
    </row>
    <row r="527">
      <c r="R527" s="7"/>
      <c r="S527" s="7"/>
      <c r="T527" s="7"/>
      <c r="U527" s="7"/>
      <c r="V527" s="7"/>
      <c r="W527" s="7"/>
    </row>
    <row r="528">
      <c r="R528" s="7"/>
      <c r="S528" s="7"/>
      <c r="T528" s="7"/>
      <c r="U528" s="7"/>
      <c r="V528" s="7"/>
      <c r="W528" s="7"/>
    </row>
    <row r="529">
      <c r="R529" s="7"/>
      <c r="S529" s="7"/>
      <c r="T529" s="7"/>
      <c r="U529" s="7"/>
      <c r="V529" s="7"/>
      <c r="W529" s="7"/>
    </row>
    <row r="530">
      <c r="R530" s="7"/>
      <c r="S530" s="7"/>
      <c r="T530" s="7"/>
      <c r="U530" s="7"/>
      <c r="V530" s="7"/>
      <c r="W530" s="7"/>
    </row>
    <row r="531">
      <c r="R531" s="7"/>
      <c r="S531" s="7"/>
      <c r="T531" s="7"/>
      <c r="U531" s="7"/>
      <c r="V531" s="7"/>
      <c r="W531" s="7"/>
    </row>
    <row r="532">
      <c r="R532" s="7"/>
      <c r="S532" s="7"/>
      <c r="T532" s="7"/>
      <c r="U532" s="7"/>
      <c r="V532" s="7"/>
      <c r="W532" s="7"/>
    </row>
    <row r="533">
      <c r="R533" s="7"/>
      <c r="S533" s="7"/>
      <c r="T533" s="7"/>
      <c r="U533" s="7"/>
      <c r="V533" s="7"/>
      <c r="W533" s="7"/>
    </row>
    <row r="534">
      <c r="R534" s="7"/>
      <c r="S534" s="7"/>
      <c r="T534" s="7"/>
      <c r="U534" s="7"/>
      <c r="V534" s="7"/>
      <c r="W534" s="7"/>
    </row>
    <row r="535">
      <c r="R535" s="7"/>
      <c r="S535" s="7"/>
      <c r="T535" s="7"/>
      <c r="U535" s="7"/>
      <c r="V535" s="7"/>
      <c r="W535" s="7"/>
    </row>
    <row r="536">
      <c r="R536" s="7"/>
      <c r="S536" s="7"/>
      <c r="T536" s="7"/>
      <c r="U536" s="7"/>
      <c r="V536" s="7"/>
      <c r="W536" s="7"/>
    </row>
    <row r="537">
      <c r="R537" s="7"/>
      <c r="S537" s="7"/>
      <c r="T537" s="7"/>
      <c r="U537" s="7"/>
      <c r="V537" s="7"/>
      <c r="W537" s="7"/>
    </row>
    <row r="538">
      <c r="R538" s="7"/>
      <c r="S538" s="7"/>
      <c r="T538" s="7"/>
      <c r="U538" s="7"/>
      <c r="V538" s="7"/>
      <c r="W538" s="7"/>
    </row>
    <row r="539">
      <c r="R539" s="7"/>
      <c r="S539" s="7"/>
      <c r="T539" s="7"/>
      <c r="U539" s="7"/>
      <c r="V539" s="7"/>
      <c r="W539" s="7"/>
    </row>
    <row r="540">
      <c r="R540" s="7"/>
      <c r="S540" s="7"/>
      <c r="T540" s="7"/>
      <c r="U540" s="7"/>
      <c r="V540" s="7"/>
      <c r="W540" s="7"/>
    </row>
    <row r="541">
      <c r="R541" s="7"/>
      <c r="S541" s="7"/>
      <c r="T541" s="7"/>
      <c r="U541" s="7"/>
      <c r="V541" s="7"/>
      <c r="W541" s="7"/>
    </row>
    <row r="542">
      <c r="R542" s="7"/>
      <c r="S542" s="7"/>
      <c r="T542" s="7"/>
      <c r="U542" s="7"/>
      <c r="V542" s="7"/>
      <c r="W542" s="7"/>
    </row>
    <row r="543">
      <c r="R543" s="7"/>
      <c r="S543" s="7"/>
      <c r="T543" s="7"/>
      <c r="U543" s="7"/>
      <c r="V543" s="7"/>
      <c r="W543" s="7"/>
    </row>
    <row r="544">
      <c r="R544" s="7"/>
      <c r="S544" s="7"/>
      <c r="T544" s="7"/>
      <c r="U544" s="7"/>
      <c r="V544" s="7"/>
      <c r="W544" s="7"/>
    </row>
    <row r="545">
      <c r="R545" s="7"/>
      <c r="S545" s="7"/>
      <c r="T545" s="7"/>
      <c r="U545" s="7"/>
      <c r="V545" s="7"/>
      <c r="W545" s="7"/>
    </row>
    <row r="546">
      <c r="R546" s="7"/>
      <c r="S546" s="7"/>
      <c r="T546" s="7"/>
      <c r="U546" s="7"/>
      <c r="V546" s="7"/>
      <c r="W546" s="7"/>
    </row>
    <row r="547">
      <c r="R547" s="7"/>
      <c r="S547" s="7"/>
      <c r="T547" s="7"/>
      <c r="U547" s="7"/>
      <c r="V547" s="7"/>
      <c r="W547" s="7"/>
    </row>
    <row r="548">
      <c r="R548" s="7"/>
      <c r="S548" s="7"/>
      <c r="T548" s="7"/>
      <c r="U548" s="7"/>
      <c r="V548" s="7"/>
      <c r="W548" s="7"/>
    </row>
    <row r="549">
      <c r="R549" s="7"/>
      <c r="S549" s="7"/>
      <c r="T549" s="7"/>
      <c r="U549" s="7"/>
      <c r="V549" s="7"/>
      <c r="W549" s="7"/>
    </row>
    <row r="550">
      <c r="R550" s="7"/>
      <c r="S550" s="7"/>
      <c r="T550" s="7"/>
      <c r="U550" s="7"/>
      <c r="V550" s="7"/>
      <c r="W550" s="7"/>
    </row>
    <row r="551">
      <c r="R551" s="7"/>
      <c r="S551" s="7"/>
      <c r="T551" s="7"/>
      <c r="U551" s="7"/>
      <c r="V551" s="7"/>
      <c r="W551" s="7"/>
    </row>
    <row r="552">
      <c r="R552" s="7"/>
      <c r="S552" s="7"/>
      <c r="T552" s="7"/>
      <c r="U552" s="7"/>
      <c r="V552" s="7"/>
      <c r="W552" s="7"/>
    </row>
    <row r="553">
      <c r="R553" s="7"/>
      <c r="S553" s="7"/>
      <c r="T553" s="7"/>
      <c r="U553" s="7"/>
      <c r="V553" s="7"/>
      <c r="W553" s="7"/>
    </row>
    <row r="554">
      <c r="R554" s="7"/>
      <c r="S554" s="7"/>
      <c r="T554" s="7"/>
      <c r="U554" s="7"/>
      <c r="V554" s="7"/>
      <c r="W554" s="7"/>
    </row>
    <row r="555">
      <c r="R555" s="7"/>
      <c r="S555" s="7"/>
      <c r="T555" s="7"/>
      <c r="U555" s="7"/>
      <c r="V555" s="7"/>
      <c r="W555" s="7"/>
    </row>
    <row r="556">
      <c r="R556" s="7"/>
      <c r="S556" s="7"/>
      <c r="T556" s="7"/>
      <c r="U556" s="7"/>
      <c r="V556" s="7"/>
      <c r="W556" s="7"/>
    </row>
    <row r="557">
      <c r="R557" s="7"/>
      <c r="S557" s="7"/>
      <c r="T557" s="7"/>
      <c r="U557" s="7"/>
      <c r="V557" s="7"/>
      <c r="W557" s="7"/>
    </row>
    <row r="558">
      <c r="R558" s="7"/>
      <c r="S558" s="7"/>
      <c r="T558" s="7"/>
      <c r="U558" s="7"/>
      <c r="V558" s="7"/>
      <c r="W558" s="7"/>
    </row>
    <row r="559">
      <c r="R559" s="7"/>
      <c r="S559" s="7"/>
      <c r="T559" s="7"/>
      <c r="U559" s="7"/>
      <c r="V559" s="7"/>
      <c r="W559" s="7"/>
    </row>
    <row r="560">
      <c r="R560" s="7"/>
      <c r="S560" s="7"/>
      <c r="T560" s="7"/>
      <c r="U560" s="7"/>
      <c r="V560" s="7"/>
      <c r="W560" s="7"/>
    </row>
    <row r="561">
      <c r="R561" s="7"/>
      <c r="S561" s="7"/>
      <c r="T561" s="7"/>
      <c r="U561" s="7"/>
      <c r="V561" s="7"/>
      <c r="W561" s="7"/>
    </row>
    <row r="562">
      <c r="R562" s="7"/>
      <c r="S562" s="7"/>
      <c r="T562" s="7"/>
      <c r="U562" s="7"/>
      <c r="V562" s="7"/>
      <c r="W562" s="7"/>
    </row>
    <row r="563">
      <c r="R563" s="7"/>
      <c r="S563" s="7"/>
      <c r="T563" s="7"/>
      <c r="U563" s="7"/>
      <c r="V563" s="7"/>
      <c r="W563" s="7"/>
    </row>
    <row r="564">
      <c r="R564" s="7"/>
      <c r="S564" s="7"/>
      <c r="T564" s="7"/>
      <c r="U564" s="7"/>
      <c r="V564" s="7"/>
      <c r="W564" s="7"/>
    </row>
    <row r="565">
      <c r="R565" s="7"/>
      <c r="S565" s="7"/>
      <c r="T565" s="7"/>
      <c r="U565" s="7"/>
      <c r="V565" s="7"/>
      <c r="W565" s="7"/>
    </row>
    <row r="566">
      <c r="R566" s="7"/>
      <c r="S566" s="7"/>
      <c r="T566" s="7"/>
      <c r="U566" s="7"/>
      <c r="V566" s="7"/>
      <c r="W566" s="7"/>
    </row>
    <row r="567">
      <c r="R567" s="7"/>
      <c r="S567" s="7"/>
      <c r="T567" s="7"/>
      <c r="U567" s="7"/>
      <c r="V567" s="7"/>
      <c r="W567" s="7"/>
    </row>
    <row r="568">
      <c r="R568" s="7"/>
      <c r="S568" s="7"/>
      <c r="T568" s="7"/>
      <c r="U568" s="7"/>
      <c r="V568" s="7"/>
      <c r="W568" s="7"/>
    </row>
    <row r="569">
      <c r="R569" s="7"/>
      <c r="S569" s="7"/>
      <c r="T569" s="7"/>
      <c r="U569" s="7"/>
      <c r="V569" s="7"/>
      <c r="W569" s="7"/>
    </row>
    <row r="570">
      <c r="R570" s="7"/>
      <c r="S570" s="7"/>
      <c r="T570" s="7"/>
      <c r="U570" s="7"/>
      <c r="V570" s="7"/>
      <c r="W570" s="7"/>
    </row>
    <row r="571">
      <c r="R571" s="7"/>
      <c r="S571" s="7"/>
      <c r="T571" s="7"/>
      <c r="U571" s="7"/>
      <c r="V571" s="7"/>
      <c r="W571" s="7"/>
    </row>
    <row r="572">
      <c r="R572" s="7"/>
      <c r="S572" s="7"/>
      <c r="T572" s="7"/>
      <c r="U572" s="7"/>
      <c r="V572" s="7"/>
      <c r="W572" s="7"/>
    </row>
    <row r="573">
      <c r="R573" s="7"/>
      <c r="S573" s="7"/>
      <c r="T573" s="7"/>
      <c r="U573" s="7"/>
      <c r="V573" s="7"/>
      <c r="W573" s="7"/>
    </row>
    <row r="574">
      <c r="R574" s="7"/>
      <c r="S574" s="7"/>
      <c r="T574" s="7"/>
      <c r="U574" s="7"/>
      <c r="V574" s="7"/>
      <c r="W574" s="7"/>
    </row>
    <row r="575">
      <c r="R575" s="7"/>
      <c r="S575" s="7"/>
      <c r="T575" s="7"/>
      <c r="U575" s="7"/>
      <c r="V575" s="7"/>
      <c r="W575" s="7"/>
    </row>
    <row r="576">
      <c r="R576" s="7"/>
      <c r="S576" s="7"/>
      <c r="T576" s="7"/>
      <c r="U576" s="7"/>
      <c r="V576" s="7"/>
      <c r="W576" s="7"/>
    </row>
    <row r="577">
      <c r="R577" s="7"/>
      <c r="S577" s="7"/>
      <c r="T577" s="7"/>
      <c r="U577" s="7"/>
      <c r="V577" s="7"/>
      <c r="W577" s="7"/>
    </row>
    <row r="578">
      <c r="R578" s="7"/>
      <c r="S578" s="7"/>
      <c r="T578" s="7"/>
      <c r="U578" s="7"/>
      <c r="V578" s="7"/>
      <c r="W578" s="7"/>
    </row>
    <row r="579">
      <c r="R579" s="7"/>
      <c r="S579" s="7"/>
      <c r="T579" s="7"/>
      <c r="U579" s="7"/>
      <c r="V579" s="7"/>
      <c r="W579" s="7"/>
    </row>
    <row r="580">
      <c r="R580" s="7"/>
      <c r="S580" s="7"/>
      <c r="T580" s="7"/>
      <c r="U580" s="7"/>
      <c r="V580" s="7"/>
      <c r="W580" s="7"/>
    </row>
    <row r="581">
      <c r="R581" s="7"/>
      <c r="S581" s="7"/>
      <c r="T581" s="7"/>
      <c r="U581" s="7"/>
      <c r="V581" s="7"/>
      <c r="W581" s="7"/>
    </row>
    <row r="582">
      <c r="R582" s="7"/>
      <c r="S582" s="7"/>
      <c r="T582" s="7"/>
      <c r="U582" s="7"/>
      <c r="V582" s="7"/>
      <c r="W582" s="7"/>
    </row>
    <row r="583">
      <c r="R583" s="7"/>
      <c r="S583" s="7"/>
      <c r="T583" s="7"/>
      <c r="U583" s="7"/>
      <c r="V583" s="7"/>
      <c r="W583" s="7"/>
    </row>
    <row r="584">
      <c r="R584" s="7"/>
      <c r="S584" s="7"/>
      <c r="T584" s="7"/>
      <c r="U584" s="7"/>
      <c r="V584" s="7"/>
      <c r="W584" s="7"/>
    </row>
    <row r="585">
      <c r="R585" s="7"/>
      <c r="S585" s="7"/>
      <c r="T585" s="7"/>
      <c r="U585" s="7"/>
      <c r="V585" s="7"/>
      <c r="W585" s="7"/>
    </row>
    <row r="586">
      <c r="R586" s="7"/>
      <c r="S586" s="7"/>
      <c r="T586" s="7"/>
      <c r="U586" s="7"/>
      <c r="V586" s="7"/>
      <c r="W586" s="7"/>
    </row>
    <row r="587">
      <c r="R587" s="7"/>
      <c r="S587" s="7"/>
      <c r="T587" s="7"/>
      <c r="U587" s="7"/>
      <c r="V587" s="7"/>
      <c r="W587" s="7"/>
    </row>
    <row r="588">
      <c r="R588" s="7"/>
      <c r="S588" s="7"/>
      <c r="T588" s="7"/>
      <c r="U588" s="7"/>
      <c r="V588" s="7"/>
      <c r="W588" s="7"/>
    </row>
    <row r="589">
      <c r="R589" s="7"/>
      <c r="S589" s="7"/>
      <c r="T589" s="7"/>
      <c r="U589" s="7"/>
      <c r="V589" s="7"/>
      <c r="W589" s="7"/>
    </row>
    <row r="590">
      <c r="R590" s="7"/>
      <c r="S590" s="7"/>
      <c r="T590" s="7"/>
      <c r="U590" s="7"/>
      <c r="V590" s="7"/>
      <c r="W590" s="7"/>
    </row>
    <row r="591">
      <c r="R591" s="7"/>
      <c r="S591" s="7"/>
      <c r="T591" s="7"/>
      <c r="U591" s="7"/>
      <c r="V591" s="7"/>
      <c r="W591" s="7"/>
    </row>
    <row r="592">
      <c r="R592" s="7"/>
      <c r="S592" s="7"/>
      <c r="T592" s="7"/>
      <c r="U592" s="7"/>
      <c r="V592" s="7"/>
      <c r="W592" s="7"/>
    </row>
    <row r="593">
      <c r="R593" s="7"/>
      <c r="S593" s="7"/>
      <c r="T593" s="7"/>
      <c r="U593" s="7"/>
      <c r="V593" s="7"/>
      <c r="W593" s="7"/>
    </row>
    <row r="594">
      <c r="R594" s="7"/>
      <c r="S594" s="7"/>
      <c r="T594" s="7"/>
      <c r="U594" s="7"/>
      <c r="V594" s="7"/>
      <c r="W594" s="7"/>
    </row>
    <row r="595">
      <c r="R595" s="7"/>
      <c r="S595" s="7"/>
      <c r="T595" s="7"/>
      <c r="U595" s="7"/>
      <c r="V595" s="7"/>
      <c r="W595" s="7"/>
    </row>
    <row r="596">
      <c r="R596" s="7"/>
      <c r="S596" s="7"/>
      <c r="T596" s="7"/>
      <c r="U596" s="7"/>
      <c r="V596" s="7"/>
      <c r="W596" s="7"/>
    </row>
    <row r="597">
      <c r="R597" s="7"/>
      <c r="S597" s="7"/>
      <c r="T597" s="7"/>
      <c r="U597" s="7"/>
      <c r="V597" s="7"/>
      <c r="W597" s="7"/>
    </row>
    <row r="598">
      <c r="R598" s="7"/>
      <c r="S598" s="7"/>
      <c r="T598" s="7"/>
      <c r="U598" s="7"/>
      <c r="V598" s="7"/>
      <c r="W598" s="7"/>
    </row>
    <row r="599">
      <c r="R599" s="7"/>
      <c r="S599" s="7"/>
      <c r="T599" s="7"/>
      <c r="U599" s="7"/>
      <c r="V599" s="7"/>
      <c r="W599" s="7"/>
    </row>
    <row r="600">
      <c r="R600" s="7"/>
      <c r="S600" s="7"/>
      <c r="T600" s="7"/>
      <c r="U600" s="7"/>
      <c r="V600" s="7"/>
      <c r="W600" s="7"/>
    </row>
    <row r="601">
      <c r="R601" s="7"/>
      <c r="S601" s="7"/>
      <c r="T601" s="7"/>
      <c r="U601" s="7"/>
      <c r="V601" s="7"/>
      <c r="W601" s="7"/>
    </row>
    <row r="602">
      <c r="R602" s="7"/>
      <c r="S602" s="7"/>
      <c r="T602" s="7"/>
      <c r="U602" s="7"/>
      <c r="V602" s="7"/>
      <c r="W602" s="7"/>
    </row>
    <row r="603">
      <c r="R603" s="7"/>
      <c r="S603" s="7"/>
      <c r="T603" s="7"/>
      <c r="U603" s="7"/>
      <c r="V603" s="7"/>
      <c r="W603" s="7"/>
    </row>
    <row r="604">
      <c r="R604" s="7"/>
      <c r="S604" s="7"/>
      <c r="T604" s="7"/>
      <c r="U604" s="7"/>
      <c r="V604" s="7"/>
      <c r="W604" s="7"/>
    </row>
    <row r="605">
      <c r="R605" s="7"/>
      <c r="S605" s="7"/>
      <c r="T605" s="7"/>
      <c r="U605" s="7"/>
      <c r="V605" s="7"/>
      <c r="W605" s="7"/>
    </row>
    <row r="606">
      <c r="R606" s="7"/>
      <c r="S606" s="7"/>
      <c r="T606" s="7"/>
      <c r="U606" s="7"/>
      <c r="V606" s="7"/>
      <c r="W606" s="7"/>
    </row>
    <row r="607">
      <c r="R607" s="7"/>
      <c r="S607" s="7"/>
      <c r="T607" s="7"/>
      <c r="U607" s="7"/>
      <c r="V607" s="7"/>
      <c r="W607" s="7"/>
    </row>
    <row r="608">
      <c r="R608" s="7"/>
      <c r="S608" s="7"/>
      <c r="T608" s="7"/>
      <c r="U608" s="7"/>
      <c r="V608" s="7"/>
      <c r="W608" s="7"/>
    </row>
    <row r="609">
      <c r="R609" s="7"/>
      <c r="S609" s="7"/>
      <c r="T609" s="7"/>
      <c r="U609" s="7"/>
      <c r="V609" s="7"/>
      <c r="W609" s="7"/>
    </row>
    <row r="610">
      <c r="R610" s="7"/>
      <c r="S610" s="7"/>
      <c r="T610" s="7"/>
      <c r="U610" s="7"/>
      <c r="V610" s="7"/>
      <c r="W610" s="7"/>
    </row>
    <row r="611">
      <c r="R611" s="7"/>
      <c r="S611" s="7"/>
      <c r="T611" s="7"/>
      <c r="U611" s="7"/>
      <c r="V611" s="7"/>
      <c r="W611" s="7"/>
    </row>
    <row r="612">
      <c r="R612" s="7"/>
      <c r="S612" s="7"/>
      <c r="T612" s="7"/>
      <c r="U612" s="7"/>
      <c r="V612" s="7"/>
      <c r="W612" s="7"/>
    </row>
    <row r="613">
      <c r="R613" s="7"/>
      <c r="S613" s="7"/>
      <c r="T613" s="7"/>
      <c r="U613" s="7"/>
      <c r="V613" s="7"/>
      <c r="W613" s="7"/>
    </row>
    <row r="614">
      <c r="R614" s="7"/>
      <c r="S614" s="7"/>
      <c r="T614" s="7"/>
      <c r="U614" s="7"/>
      <c r="V614" s="7"/>
      <c r="W614" s="7"/>
    </row>
    <row r="615">
      <c r="R615" s="7"/>
      <c r="S615" s="7"/>
      <c r="T615" s="7"/>
      <c r="U615" s="7"/>
      <c r="V615" s="7"/>
      <c r="W615" s="7"/>
    </row>
    <row r="616">
      <c r="R616" s="7"/>
      <c r="S616" s="7"/>
      <c r="T616" s="7"/>
      <c r="U616" s="7"/>
      <c r="V616" s="7"/>
      <c r="W616" s="7"/>
    </row>
    <row r="617">
      <c r="R617" s="7"/>
      <c r="S617" s="7"/>
      <c r="T617" s="7"/>
      <c r="U617" s="7"/>
      <c r="V617" s="7"/>
      <c r="W617" s="7"/>
    </row>
    <row r="618">
      <c r="R618" s="7"/>
      <c r="S618" s="7"/>
      <c r="T618" s="7"/>
      <c r="U618" s="7"/>
      <c r="V618" s="7"/>
      <c r="W618" s="7"/>
    </row>
    <row r="619">
      <c r="R619" s="7"/>
      <c r="S619" s="7"/>
      <c r="T619" s="7"/>
      <c r="U619" s="7"/>
      <c r="V619" s="7"/>
      <c r="W619" s="7"/>
    </row>
    <row r="620">
      <c r="R620" s="7"/>
      <c r="S620" s="7"/>
      <c r="T620" s="7"/>
      <c r="U620" s="7"/>
      <c r="V620" s="7"/>
      <c r="W620" s="7"/>
    </row>
    <row r="621">
      <c r="R621" s="7"/>
      <c r="S621" s="7"/>
      <c r="T621" s="7"/>
      <c r="U621" s="7"/>
      <c r="V621" s="7"/>
      <c r="W621" s="7"/>
    </row>
    <row r="622">
      <c r="R622" s="7"/>
      <c r="S622" s="7"/>
      <c r="T622" s="7"/>
      <c r="U622" s="7"/>
      <c r="V622" s="7"/>
      <c r="W622" s="7"/>
    </row>
    <row r="623">
      <c r="R623" s="7"/>
      <c r="S623" s="7"/>
      <c r="T623" s="7"/>
      <c r="U623" s="7"/>
      <c r="V623" s="7"/>
      <c r="W623" s="7"/>
    </row>
    <row r="624">
      <c r="R624" s="7"/>
      <c r="S624" s="7"/>
      <c r="T624" s="7"/>
      <c r="U624" s="7"/>
      <c r="V624" s="7"/>
      <c r="W624" s="7"/>
    </row>
    <row r="625">
      <c r="R625" s="7"/>
      <c r="S625" s="7"/>
      <c r="T625" s="7"/>
      <c r="U625" s="7"/>
      <c r="V625" s="7"/>
      <c r="W625" s="7"/>
    </row>
    <row r="626">
      <c r="R626" s="7"/>
      <c r="S626" s="7"/>
      <c r="T626" s="7"/>
      <c r="U626" s="7"/>
      <c r="V626" s="7"/>
      <c r="W626" s="7"/>
    </row>
    <row r="627">
      <c r="R627" s="7"/>
      <c r="S627" s="7"/>
      <c r="T627" s="7"/>
      <c r="U627" s="7"/>
      <c r="V627" s="7"/>
      <c r="W627" s="7"/>
    </row>
    <row r="628">
      <c r="R628" s="7"/>
      <c r="S628" s="7"/>
      <c r="T628" s="7"/>
      <c r="U628" s="7"/>
      <c r="V628" s="7"/>
      <c r="W628" s="7"/>
    </row>
    <row r="629">
      <c r="R629" s="7"/>
      <c r="S629" s="7"/>
      <c r="T629" s="7"/>
      <c r="U629" s="7"/>
      <c r="V629" s="7"/>
      <c r="W629" s="7"/>
    </row>
    <row r="630">
      <c r="R630" s="7"/>
      <c r="S630" s="7"/>
      <c r="T630" s="7"/>
      <c r="U630" s="7"/>
      <c r="V630" s="7"/>
      <c r="W630" s="7"/>
    </row>
    <row r="631">
      <c r="R631" s="7"/>
      <c r="S631" s="7"/>
      <c r="T631" s="7"/>
      <c r="U631" s="7"/>
      <c r="V631" s="7"/>
      <c r="W631" s="7"/>
    </row>
    <row r="632">
      <c r="R632" s="7"/>
      <c r="S632" s="7"/>
      <c r="T632" s="7"/>
      <c r="U632" s="7"/>
      <c r="V632" s="7"/>
      <c r="W632" s="7"/>
    </row>
    <row r="633">
      <c r="R633" s="7"/>
      <c r="S633" s="7"/>
      <c r="T633" s="7"/>
      <c r="U633" s="7"/>
      <c r="V633" s="7"/>
      <c r="W633" s="7"/>
    </row>
    <row r="634">
      <c r="R634" s="7"/>
      <c r="S634" s="7"/>
      <c r="T634" s="7"/>
      <c r="U634" s="7"/>
      <c r="V634" s="7"/>
      <c r="W634" s="7"/>
    </row>
    <row r="635">
      <c r="R635" s="7"/>
      <c r="S635" s="7"/>
      <c r="T635" s="7"/>
      <c r="U635" s="7"/>
      <c r="V635" s="7"/>
      <c r="W635" s="7"/>
    </row>
    <row r="636">
      <c r="R636" s="7"/>
      <c r="S636" s="7"/>
      <c r="T636" s="7"/>
      <c r="U636" s="7"/>
      <c r="V636" s="7"/>
      <c r="W636" s="7"/>
    </row>
    <row r="637">
      <c r="R637" s="7"/>
      <c r="S637" s="7"/>
      <c r="T637" s="7"/>
      <c r="U637" s="7"/>
      <c r="V637" s="7"/>
      <c r="W637" s="7"/>
    </row>
    <row r="638">
      <c r="R638" s="7"/>
      <c r="S638" s="7"/>
      <c r="T638" s="7"/>
      <c r="U638" s="7"/>
      <c r="V638" s="7"/>
      <c r="W638" s="7"/>
    </row>
    <row r="639">
      <c r="R639" s="7"/>
      <c r="S639" s="7"/>
      <c r="T639" s="7"/>
      <c r="U639" s="7"/>
      <c r="V639" s="7"/>
      <c r="W639" s="7"/>
    </row>
    <row r="640">
      <c r="R640" s="7"/>
      <c r="S640" s="7"/>
      <c r="T640" s="7"/>
      <c r="U640" s="7"/>
      <c r="V640" s="7"/>
      <c r="W640" s="7"/>
    </row>
    <row r="641">
      <c r="R641" s="7"/>
      <c r="S641" s="7"/>
      <c r="T641" s="7"/>
      <c r="U641" s="7"/>
      <c r="V641" s="7"/>
      <c r="W641" s="7"/>
    </row>
    <row r="642">
      <c r="R642" s="7"/>
      <c r="S642" s="7"/>
      <c r="T642" s="7"/>
      <c r="U642" s="7"/>
      <c r="V642" s="7"/>
      <c r="W642" s="7"/>
    </row>
    <row r="643">
      <c r="R643" s="7"/>
      <c r="S643" s="7"/>
      <c r="T643" s="7"/>
      <c r="U643" s="7"/>
      <c r="V643" s="7"/>
      <c r="W643" s="7"/>
    </row>
    <row r="644">
      <c r="R644" s="7"/>
      <c r="S644" s="7"/>
      <c r="T644" s="7"/>
      <c r="U644" s="7"/>
      <c r="V644" s="7"/>
      <c r="W644" s="7"/>
    </row>
    <row r="645">
      <c r="R645" s="7"/>
      <c r="S645" s="7"/>
      <c r="T645" s="7"/>
      <c r="U645" s="7"/>
      <c r="V645" s="7"/>
      <c r="W645" s="7"/>
    </row>
    <row r="646">
      <c r="R646" s="7"/>
      <c r="S646" s="7"/>
      <c r="T646" s="7"/>
      <c r="U646" s="7"/>
      <c r="V646" s="7"/>
      <c r="W646" s="7"/>
    </row>
    <row r="647">
      <c r="R647" s="7"/>
      <c r="S647" s="7"/>
      <c r="T647" s="7"/>
      <c r="U647" s="7"/>
      <c r="V647" s="7"/>
      <c r="W647" s="7"/>
    </row>
    <row r="648">
      <c r="R648" s="7"/>
      <c r="S648" s="7"/>
      <c r="T648" s="7"/>
      <c r="U648" s="7"/>
      <c r="V648" s="7"/>
      <c r="W648" s="7"/>
    </row>
    <row r="649">
      <c r="R649" s="7"/>
      <c r="S649" s="7"/>
      <c r="T649" s="7"/>
      <c r="U649" s="7"/>
      <c r="V649" s="7"/>
      <c r="W649" s="7"/>
    </row>
    <row r="650">
      <c r="R650" s="7"/>
      <c r="S650" s="7"/>
      <c r="T650" s="7"/>
      <c r="U650" s="7"/>
      <c r="V650" s="7"/>
      <c r="W650" s="7"/>
    </row>
    <row r="651">
      <c r="R651" s="7"/>
      <c r="S651" s="7"/>
      <c r="T651" s="7"/>
      <c r="U651" s="7"/>
      <c r="V651" s="7"/>
      <c r="W651" s="7"/>
    </row>
    <row r="652">
      <c r="R652" s="7"/>
      <c r="S652" s="7"/>
      <c r="T652" s="7"/>
      <c r="U652" s="7"/>
      <c r="V652" s="7"/>
      <c r="W652" s="7"/>
    </row>
    <row r="653">
      <c r="R653" s="7"/>
      <c r="S653" s="7"/>
      <c r="T653" s="7"/>
      <c r="U653" s="7"/>
      <c r="V653" s="7"/>
      <c r="W653" s="7"/>
    </row>
    <row r="654">
      <c r="R654" s="7"/>
      <c r="S654" s="7"/>
      <c r="T654" s="7"/>
      <c r="U654" s="7"/>
      <c r="V654" s="7"/>
      <c r="W654" s="7"/>
    </row>
    <row r="655">
      <c r="R655" s="7"/>
      <c r="S655" s="7"/>
      <c r="T655" s="7"/>
      <c r="U655" s="7"/>
      <c r="V655" s="7"/>
      <c r="W655" s="7"/>
    </row>
    <row r="656">
      <c r="R656" s="7"/>
      <c r="S656" s="7"/>
      <c r="T656" s="7"/>
      <c r="U656" s="7"/>
      <c r="V656" s="7"/>
      <c r="W656" s="7"/>
    </row>
    <row r="657">
      <c r="R657" s="7"/>
      <c r="S657" s="7"/>
      <c r="T657" s="7"/>
      <c r="U657" s="7"/>
      <c r="V657" s="7"/>
      <c r="W657" s="7"/>
    </row>
    <row r="658">
      <c r="R658" s="7"/>
      <c r="S658" s="7"/>
      <c r="T658" s="7"/>
      <c r="U658" s="7"/>
      <c r="V658" s="7"/>
      <c r="W658" s="7"/>
    </row>
    <row r="659">
      <c r="R659" s="7"/>
      <c r="S659" s="7"/>
      <c r="T659" s="7"/>
      <c r="U659" s="7"/>
      <c r="V659" s="7"/>
      <c r="W659" s="7"/>
    </row>
    <row r="660">
      <c r="R660" s="7"/>
      <c r="S660" s="7"/>
      <c r="T660" s="7"/>
      <c r="U660" s="7"/>
      <c r="V660" s="7"/>
      <c r="W660" s="7"/>
    </row>
    <row r="661">
      <c r="R661" s="7"/>
      <c r="S661" s="7"/>
      <c r="T661" s="7"/>
      <c r="U661" s="7"/>
      <c r="V661" s="7"/>
      <c r="W661" s="7"/>
    </row>
    <row r="662">
      <c r="R662" s="7"/>
      <c r="S662" s="7"/>
      <c r="T662" s="7"/>
      <c r="U662" s="7"/>
      <c r="V662" s="7"/>
      <c r="W662" s="7"/>
    </row>
    <row r="663">
      <c r="R663" s="7"/>
      <c r="S663" s="7"/>
      <c r="T663" s="7"/>
      <c r="U663" s="7"/>
      <c r="V663" s="7"/>
      <c r="W663" s="7"/>
    </row>
    <row r="664">
      <c r="R664" s="7"/>
      <c r="S664" s="7"/>
      <c r="T664" s="7"/>
      <c r="U664" s="7"/>
      <c r="V664" s="7"/>
      <c r="W664" s="7"/>
    </row>
    <row r="665">
      <c r="R665" s="7"/>
      <c r="S665" s="7"/>
      <c r="T665" s="7"/>
      <c r="U665" s="7"/>
      <c r="V665" s="7"/>
      <c r="W665" s="7"/>
    </row>
    <row r="666">
      <c r="R666" s="7"/>
      <c r="S666" s="7"/>
      <c r="T666" s="7"/>
      <c r="U666" s="7"/>
      <c r="V666" s="7"/>
      <c r="W666" s="7"/>
    </row>
    <row r="667">
      <c r="R667" s="7"/>
      <c r="S667" s="7"/>
      <c r="T667" s="7"/>
      <c r="U667" s="7"/>
      <c r="V667" s="7"/>
      <c r="W667" s="7"/>
    </row>
    <row r="668">
      <c r="R668" s="7"/>
      <c r="S668" s="7"/>
      <c r="T668" s="7"/>
      <c r="U668" s="7"/>
      <c r="V668" s="7"/>
      <c r="W668" s="7"/>
    </row>
    <row r="669">
      <c r="R669" s="7"/>
      <c r="S669" s="7"/>
      <c r="T669" s="7"/>
      <c r="U669" s="7"/>
      <c r="V669" s="7"/>
      <c r="W669" s="7"/>
    </row>
    <row r="670">
      <c r="R670" s="7"/>
      <c r="S670" s="7"/>
      <c r="T670" s="7"/>
      <c r="U670" s="7"/>
      <c r="V670" s="7"/>
      <c r="W670" s="7"/>
    </row>
    <row r="671">
      <c r="R671" s="7"/>
      <c r="S671" s="7"/>
      <c r="T671" s="7"/>
      <c r="U671" s="7"/>
      <c r="V671" s="7"/>
      <c r="W671" s="7"/>
    </row>
    <row r="672">
      <c r="R672" s="7"/>
      <c r="S672" s="7"/>
      <c r="T672" s="7"/>
      <c r="U672" s="7"/>
      <c r="V672" s="7"/>
      <c r="W672" s="7"/>
    </row>
    <row r="673">
      <c r="R673" s="7"/>
      <c r="S673" s="7"/>
      <c r="T673" s="7"/>
      <c r="U673" s="7"/>
      <c r="V673" s="7"/>
      <c r="W673" s="7"/>
    </row>
    <row r="674">
      <c r="R674" s="7"/>
      <c r="S674" s="7"/>
      <c r="T674" s="7"/>
      <c r="U674" s="7"/>
      <c r="V674" s="7"/>
      <c r="W674" s="7"/>
    </row>
    <row r="675">
      <c r="R675" s="7"/>
      <c r="S675" s="7"/>
      <c r="T675" s="7"/>
      <c r="U675" s="7"/>
      <c r="V675" s="7"/>
      <c r="W675" s="7"/>
    </row>
    <row r="676">
      <c r="R676" s="7"/>
      <c r="S676" s="7"/>
      <c r="T676" s="7"/>
      <c r="U676" s="7"/>
      <c r="V676" s="7"/>
      <c r="W676" s="7"/>
    </row>
    <row r="677">
      <c r="R677" s="7"/>
      <c r="S677" s="7"/>
      <c r="T677" s="7"/>
      <c r="U677" s="7"/>
      <c r="V677" s="7"/>
      <c r="W677" s="7"/>
    </row>
    <row r="678">
      <c r="R678" s="7"/>
      <c r="S678" s="7"/>
      <c r="T678" s="7"/>
      <c r="U678" s="7"/>
      <c r="V678" s="7"/>
      <c r="W678" s="7"/>
    </row>
    <row r="679">
      <c r="R679" s="7"/>
      <c r="S679" s="7"/>
      <c r="T679" s="7"/>
      <c r="U679" s="7"/>
      <c r="V679" s="7"/>
      <c r="W679" s="7"/>
    </row>
    <row r="680">
      <c r="R680" s="7"/>
      <c r="S680" s="7"/>
      <c r="T680" s="7"/>
      <c r="U680" s="7"/>
      <c r="V680" s="7"/>
      <c r="W680" s="7"/>
    </row>
    <row r="681">
      <c r="R681" s="7"/>
      <c r="S681" s="7"/>
      <c r="T681" s="7"/>
      <c r="U681" s="7"/>
      <c r="V681" s="7"/>
      <c r="W681" s="7"/>
    </row>
    <row r="682">
      <c r="R682" s="7"/>
      <c r="S682" s="7"/>
      <c r="T682" s="7"/>
      <c r="U682" s="7"/>
      <c r="V682" s="7"/>
      <c r="W682" s="7"/>
    </row>
    <row r="683">
      <c r="R683" s="7"/>
      <c r="S683" s="7"/>
      <c r="T683" s="7"/>
      <c r="U683" s="7"/>
      <c r="V683" s="7"/>
      <c r="W683" s="7"/>
    </row>
    <row r="684">
      <c r="R684" s="7"/>
      <c r="S684" s="7"/>
      <c r="T684" s="7"/>
      <c r="U684" s="7"/>
      <c r="V684" s="7"/>
      <c r="W684" s="7"/>
    </row>
    <row r="685">
      <c r="R685" s="7"/>
      <c r="S685" s="7"/>
      <c r="T685" s="7"/>
      <c r="U685" s="7"/>
      <c r="V685" s="7"/>
      <c r="W685" s="7"/>
    </row>
    <row r="686">
      <c r="R686" s="7"/>
      <c r="S686" s="7"/>
      <c r="T686" s="7"/>
      <c r="U686" s="7"/>
      <c r="V686" s="7"/>
      <c r="W686" s="7"/>
    </row>
    <row r="687">
      <c r="R687" s="7"/>
      <c r="S687" s="7"/>
      <c r="T687" s="7"/>
      <c r="U687" s="7"/>
      <c r="V687" s="7"/>
      <c r="W687" s="7"/>
    </row>
    <row r="688">
      <c r="R688" s="7"/>
      <c r="S688" s="7"/>
      <c r="T688" s="7"/>
      <c r="U688" s="7"/>
      <c r="V688" s="7"/>
      <c r="W688" s="7"/>
    </row>
    <row r="689">
      <c r="R689" s="7"/>
      <c r="S689" s="7"/>
      <c r="T689" s="7"/>
      <c r="U689" s="7"/>
      <c r="V689" s="7"/>
      <c r="W689" s="7"/>
    </row>
    <row r="690">
      <c r="R690" s="7"/>
      <c r="S690" s="7"/>
      <c r="T690" s="7"/>
      <c r="U690" s="7"/>
      <c r="V690" s="7"/>
      <c r="W690" s="7"/>
    </row>
    <row r="691">
      <c r="R691" s="7"/>
      <c r="S691" s="7"/>
      <c r="T691" s="7"/>
      <c r="U691" s="7"/>
      <c r="V691" s="7"/>
      <c r="W691" s="7"/>
    </row>
    <row r="692">
      <c r="R692" s="7"/>
      <c r="S692" s="7"/>
      <c r="T692" s="7"/>
      <c r="U692" s="7"/>
      <c r="V692" s="7"/>
      <c r="W692" s="7"/>
    </row>
    <row r="693">
      <c r="R693" s="7"/>
      <c r="S693" s="7"/>
      <c r="T693" s="7"/>
      <c r="U693" s="7"/>
      <c r="V693" s="7"/>
      <c r="W693" s="7"/>
    </row>
    <row r="694">
      <c r="R694" s="7"/>
      <c r="S694" s="7"/>
      <c r="T694" s="7"/>
      <c r="U694" s="7"/>
      <c r="V694" s="7"/>
      <c r="W694" s="7"/>
    </row>
    <row r="695">
      <c r="R695" s="7"/>
      <c r="S695" s="7"/>
      <c r="T695" s="7"/>
      <c r="U695" s="7"/>
      <c r="V695" s="7"/>
      <c r="W695" s="7"/>
    </row>
    <row r="696">
      <c r="R696" s="7"/>
      <c r="S696" s="7"/>
      <c r="T696" s="7"/>
      <c r="U696" s="7"/>
      <c r="V696" s="7"/>
      <c r="W696" s="7"/>
    </row>
    <row r="697">
      <c r="R697" s="7"/>
      <c r="S697" s="7"/>
      <c r="T697" s="7"/>
      <c r="U697" s="7"/>
      <c r="V697" s="7"/>
      <c r="W697" s="7"/>
    </row>
    <row r="698">
      <c r="R698" s="7"/>
      <c r="S698" s="7"/>
      <c r="T698" s="7"/>
      <c r="U698" s="7"/>
      <c r="V698" s="7"/>
      <c r="W698" s="7"/>
    </row>
    <row r="699">
      <c r="R699" s="7"/>
      <c r="S699" s="7"/>
      <c r="T699" s="7"/>
      <c r="U699" s="7"/>
      <c r="V699" s="7"/>
      <c r="W699" s="7"/>
    </row>
    <row r="700">
      <c r="R700" s="7"/>
      <c r="S700" s="7"/>
      <c r="T700" s="7"/>
      <c r="U700" s="7"/>
      <c r="V700" s="7"/>
      <c r="W700" s="7"/>
    </row>
    <row r="701">
      <c r="R701" s="7"/>
      <c r="S701" s="7"/>
      <c r="T701" s="7"/>
      <c r="U701" s="7"/>
      <c r="V701" s="7"/>
      <c r="W701" s="7"/>
    </row>
    <row r="702">
      <c r="R702" s="7"/>
      <c r="S702" s="7"/>
      <c r="T702" s="7"/>
      <c r="U702" s="7"/>
      <c r="V702" s="7"/>
      <c r="W702" s="7"/>
    </row>
    <row r="703">
      <c r="R703" s="7"/>
      <c r="S703" s="7"/>
      <c r="T703" s="7"/>
      <c r="U703" s="7"/>
      <c r="V703" s="7"/>
      <c r="W703" s="7"/>
    </row>
    <row r="704">
      <c r="R704" s="7"/>
      <c r="S704" s="7"/>
      <c r="T704" s="7"/>
      <c r="U704" s="7"/>
      <c r="V704" s="7"/>
      <c r="W704" s="7"/>
    </row>
    <row r="705">
      <c r="R705" s="7"/>
      <c r="S705" s="7"/>
      <c r="T705" s="7"/>
      <c r="U705" s="7"/>
      <c r="V705" s="7"/>
      <c r="W705" s="7"/>
    </row>
    <row r="706">
      <c r="R706" s="7"/>
      <c r="S706" s="7"/>
      <c r="T706" s="7"/>
      <c r="U706" s="7"/>
      <c r="V706" s="7"/>
      <c r="W706" s="7"/>
    </row>
    <row r="707">
      <c r="R707" s="7"/>
      <c r="S707" s="7"/>
      <c r="T707" s="7"/>
      <c r="U707" s="7"/>
      <c r="V707" s="7"/>
      <c r="W707" s="7"/>
    </row>
    <row r="708">
      <c r="R708" s="7"/>
      <c r="S708" s="7"/>
      <c r="T708" s="7"/>
      <c r="U708" s="7"/>
      <c r="V708" s="7"/>
      <c r="W708" s="7"/>
    </row>
    <row r="709">
      <c r="R709" s="7"/>
      <c r="S709" s="7"/>
      <c r="T709" s="7"/>
      <c r="U709" s="7"/>
      <c r="V709" s="7"/>
      <c r="W709" s="7"/>
    </row>
    <row r="710">
      <c r="R710" s="7"/>
      <c r="S710" s="7"/>
      <c r="T710" s="7"/>
      <c r="U710" s="7"/>
      <c r="V710" s="7"/>
      <c r="W710" s="7"/>
    </row>
    <row r="711">
      <c r="R711" s="7"/>
      <c r="S711" s="7"/>
      <c r="T711" s="7"/>
      <c r="U711" s="7"/>
      <c r="V711" s="7"/>
      <c r="W711" s="7"/>
    </row>
    <row r="712">
      <c r="R712" s="7"/>
      <c r="S712" s="7"/>
      <c r="T712" s="7"/>
      <c r="U712" s="7"/>
      <c r="V712" s="7"/>
      <c r="W712" s="7"/>
    </row>
    <row r="713">
      <c r="R713" s="7"/>
      <c r="S713" s="7"/>
      <c r="T713" s="7"/>
      <c r="U713" s="7"/>
      <c r="V713" s="7"/>
      <c r="W713" s="7"/>
    </row>
    <row r="714">
      <c r="R714" s="7"/>
      <c r="S714" s="7"/>
      <c r="T714" s="7"/>
      <c r="U714" s="7"/>
      <c r="V714" s="7"/>
      <c r="W714" s="7"/>
    </row>
    <row r="715">
      <c r="R715" s="7"/>
      <c r="S715" s="7"/>
      <c r="T715" s="7"/>
      <c r="U715" s="7"/>
      <c r="V715" s="7"/>
      <c r="W715" s="7"/>
    </row>
    <row r="716">
      <c r="R716" s="7"/>
      <c r="S716" s="7"/>
      <c r="T716" s="7"/>
      <c r="U716" s="7"/>
      <c r="V716" s="7"/>
      <c r="W716" s="7"/>
    </row>
    <row r="717">
      <c r="R717" s="7"/>
      <c r="S717" s="7"/>
      <c r="T717" s="7"/>
      <c r="U717" s="7"/>
      <c r="V717" s="7"/>
      <c r="W717" s="7"/>
    </row>
    <row r="718">
      <c r="R718" s="7"/>
      <c r="S718" s="7"/>
      <c r="T718" s="7"/>
      <c r="U718" s="7"/>
      <c r="V718" s="7"/>
      <c r="W718" s="7"/>
    </row>
    <row r="719">
      <c r="R719" s="7"/>
      <c r="S719" s="7"/>
      <c r="T719" s="7"/>
      <c r="U719" s="7"/>
      <c r="V719" s="7"/>
      <c r="W719" s="7"/>
    </row>
    <row r="720">
      <c r="R720" s="7"/>
      <c r="S720" s="7"/>
      <c r="T720" s="7"/>
      <c r="U720" s="7"/>
      <c r="V720" s="7"/>
      <c r="W720" s="7"/>
    </row>
    <row r="721">
      <c r="R721" s="7"/>
      <c r="S721" s="7"/>
      <c r="T721" s="7"/>
      <c r="U721" s="7"/>
      <c r="V721" s="7"/>
      <c r="W721" s="7"/>
    </row>
    <row r="722">
      <c r="R722" s="7"/>
      <c r="S722" s="7"/>
      <c r="T722" s="7"/>
      <c r="U722" s="7"/>
      <c r="V722" s="7"/>
      <c r="W722" s="7"/>
    </row>
    <row r="723">
      <c r="R723" s="7"/>
      <c r="S723" s="7"/>
      <c r="T723" s="7"/>
      <c r="U723" s="7"/>
      <c r="V723" s="7"/>
      <c r="W723" s="7"/>
    </row>
    <row r="724">
      <c r="R724" s="7"/>
      <c r="S724" s="7"/>
      <c r="T724" s="7"/>
      <c r="U724" s="7"/>
      <c r="V724" s="7"/>
      <c r="W724" s="7"/>
    </row>
    <row r="725">
      <c r="R725" s="7"/>
      <c r="S725" s="7"/>
      <c r="T725" s="7"/>
      <c r="U725" s="7"/>
      <c r="V725" s="7"/>
      <c r="W725" s="7"/>
    </row>
    <row r="726">
      <c r="R726" s="7"/>
      <c r="S726" s="7"/>
      <c r="T726" s="7"/>
      <c r="U726" s="7"/>
      <c r="V726" s="7"/>
      <c r="W726" s="7"/>
    </row>
    <row r="727">
      <c r="R727" s="7"/>
      <c r="S727" s="7"/>
      <c r="T727" s="7"/>
      <c r="U727" s="7"/>
      <c r="V727" s="7"/>
      <c r="W727" s="7"/>
    </row>
    <row r="728">
      <c r="R728" s="7"/>
      <c r="S728" s="7"/>
      <c r="T728" s="7"/>
      <c r="U728" s="7"/>
      <c r="V728" s="7"/>
      <c r="W728" s="7"/>
    </row>
    <row r="729">
      <c r="R729" s="7"/>
      <c r="S729" s="7"/>
      <c r="T729" s="7"/>
      <c r="U729" s="7"/>
      <c r="V729" s="7"/>
      <c r="W729" s="7"/>
    </row>
    <row r="730">
      <c r="R730" s="7"/>
      <c r="S730" s="7"/>
      <c r="T730" s="7"/>
      <c r="U730" s="7"/>
      <c r="V730" s="7"/>
      <c r="W730" s="7"/>
    </row>
    <row r="731">
      <c r="R731" s="7"/>
      <c r="S731" s="7"/>
      <c r="T731" s="7"/>
      <c r="U731" s="7"/>
      <c r="V731" s="7"/>
      <c r="W731" s="7"/>
    </row>
    <row r="732">
      <c r="R732" s="7"/>
      <c r="S732" s="7"/>
      <c r="T732" s="7"/>
      <c r="U732" s="7"/>
      <c r="V732" s="7"/>
      <c r="W732" s="7"/>
    </row>
    <row r="733">
      <c r="R733" s="7"/>
      <c r="S733" s="7"/>
      <c r="T733" s="7"/>
      <c r="U733" s="7"/>
      <c r="V733" s="7"/>
      <c r="W733" s="7"/>
    </row>
    <row r="734">
      <c r="R734" s="7"/>
      <c r="S734" s="7"/>
      <c r="T734" s="7"/>
      <c r="U734" s="7"/>
      <c r="V734" s="7"/>
      <c r="W734" s="7"/>
    </row>
    <row r="735">
      <c r="R735" s="7"/>
      <c r="S735" s="7"/>
      <c r="T735" s="7"/>
      <c r="U735" s="7"/>
      <c r="V735" s="7"/>
      <c r="W735" s="7"/>
    </row>
    <row r="736">
      <c r="R736" s="7"/>
      <c r="S736" s="7"/>
      <c r="T736" s="7"/>
      <c r="U736" s="7"/>
      <c r="V736" s="7"/>
      <c r="W736" s="7"/>
    </row>
    <row r="737">
      <c r="R737" s="7"/>
      <c r="S737" s="7"/>
      <c r="T737" s="7"/>
      <c r="U737" s="7"/>
      <c r="V737" s="7"/>
      <c r="W737" s="7"/>
    </row>
    <row r="738">
      <c r="R738" s="7"/>
      <c r="S738" s="7"/>
      <c r="T738" s="7"/>
      <c r="U738" s="7"/>
      <c r="V738" s="7"/>
      <c r="W738" s="7"/>
    </row>
    <row r="739">
      <c r="R739" s="7"/>
      <c r="S739" s="7"/>
      <c r="T739" s="7"/>
      <c r="U739" s="7"/>
      <c r="V739" s="7"/>
      <c r="W739" s="7"/>
    </row>
    <row r="740">
      <c r="R740" s="7"/>
      <c r="S740" s="7"/>
      <c r="T740" s="7"/>
      <c r="U740" s="7"/>
      <c r="V740" s="7"/>
      <c r="W740" s="7"/>
    </row>
    <row r="741">
      <c r="R741" s="7"/>
      <c r="S741" s="7"/>
      <c r="T741" s="7"/>
      <c r="U741" s="7"/>
      <c r="V741" s="7"/>
      <c r="W741" s="7"/>
    </row>
    <row r="742">
      <c r="R742" s="7"/>
      <c r="S742" s="7"/>
      <c r="T742" s="7"/>
      <c r="U742" s="7"/>
      <c r="V742" s="7"/>
      <c r="W742" s="7"/>
    </row>
    <row r="743">
      <c r="R743" s="7"/>
      <c r="S743" s="7"/>
      <c r="T743" s="7"/>
      <c r="U743" s="7"/>
      <c r="V743" s="7"/>
      <c r="W743" s="7"/>
    </row>
    <row r="744">
      <c r="R744" s="7"/>
      <c r="S744" s="7"/>
      <c r="T744" s="7"/>
      <c r="U744" s="7"/>
      <c r="V744" s="7"/>
      <c r="W744" s="7"/>
    </row>
    <row r="745">
      <c r="R745" s="7"/>
      <c r="S745" s="7"/>
      <c r="T745" s="7"/>
      <c r="U745" s="7"/>
      <c r="V745" s="7"/>
      <c r="W745" s="7"/>
    </row>
    <row r="746">
      <c r="R746" s="7"/>
      <c r="S746" s="7"/>
      <c r="T746" s="7"/>
      <c r="U746" s="7"/>
      <c r="V746" s="7"/>
      <c r="W746" s="7"/>
    </row>
    <row r="747">
      <c r="R747" s="7"/>
      <c r="S747" s="7"/>
      <c r="T747" s="7"/>
      <c r="U747" s="7"/>
      <c r="V747" s="7"/>
      <c r="W747" s="7"/>
    </row>
    <row r="748">
      <c r="R748" s="7"/>
      <c r="S748" s="7"/>
      <c r="T748" s="7"/>
      <c r="U748" s="7"/>
      <c r="V748" s="7"/>
      <c r="W748" s="7"/>
    </row>
    <row r="749">
      <c r="R749" s="7"/>
      <c r="S749" s="7"/>
      <c r="T749" s="7"/>
      <c r="U749" s="7"/>
      <c r="V749" s="7"/>
      <c r="W749" s="7"/>
    </row>
    <row r="750">
      <c r="R750" s="7"/>
      <c r="S750" s="7"/>
      <c r="T750" s="7"/>
      <c r="U750" s="7"/>
      <c r="V750" s="7"/>
      <c r="W750" s="7"/>
    </row>
    <row r="751">
      <c r="R751" s="7"/>
      <c r="S751" s="7"/>
      <c r="T751" s="7"/>
      <c r="U751" s="7"/>
      <c r="V751" s="7"/>
      <c r="W751" s="7"/>
    </row>
    <row r="752">
      <c r="R752" s="7"/>
      <c r="S752" s="7"/>
      <c r="T752" s="7"/>
      <c r="U752" s="7"/>
      <c r="V752" s="7"/>
      <c r="W752" s="7"/>
    </row>
    <row r="753">
      <c r="R753" s="7"/>
      <c r="S753" s="7"/>
      <c r="T753" s="7"/>
      <c r="U753" s="7"/>
      <c r="V753" s="7"/>
      <c r="W753" s="7"/>
    </row>
    <row r="754">
      <c r="R754" s="7"/>
      <c r="S754" s="7"/>
      <c r="T754" s="7"/>
      <c r="U754" s="7"/>
      <c r="V754" s="7"/>
      <c r="W754" s="7"/>
    </row>
    <row r="755">
      <c r="R755" s="7"/>
      <c r="S755" s="7"/>
      <c r="T755" s="7"/>
      <c r="U755" s="7"/>
      <c r="V755" s="7"/>
      <c r="W755" s="7"/>
    </row>
    <row r="756">
      <c r="R756" s="7"/>
      <c r="S756" s="7"/>
      <c r="T756" s="7"/>
      <c r="U756" s="7"/>
      <c r="V756" s="7"/>
      <c r="W756" s="7"/>
    </row>
    <row r="757">
      <c r="R757" s="7"/>
      <c r="S757" s="7"/>
      <c r="T757" s="7"/>
      <c r="U757" s="7"/>
      <c r="V757" s="7"/>
      <c r="W757" s="7"/>
    </row>
    <row r="758">
      <c r="R758" s="7"/>
      <c r="S758" s="7"/>
      <c r="T758" s="7"/>
      <c r="U758" s="7"/>
      <c r="V758" s="7"/>
      <c r="W758" s="7"/>
    </row>
    <row r="759">
      <c r="R759" s="7"/>
      <c r="S759" s="7"/>
      <c r="T759" s="7"/>
      <c r="U759" s="7"/>
      <c r="V759" s="7"/>
      <c r="W759" s="7"/>
    </row>
    <row r="760">
      <c r="R760" s="7"/>
      <c r="S760" s="7"/>
      <c r="T760" s="7"/>
      <c r="U760" s="7"/>
      <c r="V760" s="7"/>
      <c r="W760" s="7"/>
    </row>
    <row r="761">
      <c r="R761" s="7"/>
      <c r="S761" s="7"/>
      <c r="T761" s="7"/>
      <c r="U761" s="7"/>
      <c r="V761" s="7"/>
      <c r="W761" s="7"/>
    </row>
    <row r="762">
      <c r="R762" s="7"/>
      <c r="S762" s="7"/>
      <c r="T762" s="7"/>
      <c r="U762" s="7"/>
      <c r="V762" s="7"/>
      <c r="W762" s="7"/>
    </row>
    <row r="763">
      <c r="R763" s="7"/>
      <c r="S763" s="7"/>
      <c r="T763" s="7"/>
      <c r="U763" s="7"/>
      <c r="V763" s="7"/>
      <c r="W763" s="7"/>
    </row>
    <row r="764">
      <c r="R764" s="7"/>
      <c r="S764" s="7"/>
      <c r="T764" s="7"/>
      <c r="U764" s="7"/>
      <c r="V764" s="7"/>
      <c r="W764" s="7"/>
    </row>
    <row r="765">
      <c r="R765" s="7"/>
      <c r="S765" s="7"/>
      <c r="T765" s="7"/>
      <c r="U765" s="7"/>
      <c r="V765" s="7"/>
      <c r="W765" s="7"/>
    </row>
    <row r="766">
      <c r="R766" s="7"/>
      <c r="S766" s="7"/>
      <c r="T766" s="7"/>
      <c r="U766" s="7"/>
      <c r="V766" s="7"/>
      <c r="W766" s="7"/>
    </row>
    <row r="767">
      <c r="R767" s="7"/>
      <c r="S767" s="7"/>
      <c r="T767" s="7"/>
      <c r="U767" s="7"/>
      <c r="V767" s="7"/>
      <c r="W767" s="7"/>
    </row>
    <row r="768">
      <c r="R768" s="7"/>
      <c r="S768" s="7"/>
      <c r="T768" s="7"/>
      <c r="U768" s="7"/>
      <c r="V768" s="7"/>
      <c r="W768" s="7"/>
    </row>
    <row r="769">
      <c r="R769" s="7"/>
      <c r="S769" s="7"/>
      <c r="T769" s="7"/>
      <c r="U769" s="7"/>
      <c r="V769" s="7"/>
      <c r="W769" s="7"/>
    </row>
    <row r="770">
      <c r="R770" s="7"/>
      <c r="S770" s="7"/>
      <c r="T770" s="7"/>
      <c r="U770" s="7"/>
      <c r="V770" s="7"/>
      <c r="W770" s="7"/>
    </row>
    <row r="771">
      <c r="R771" s="7"/>
      <c r="S771" s="7"/>
      <c r="T771" s="7"/>
      <c r="U771" s="7"/>
      <c r="V771" s="7"/>
      <c r="W771" s="7"/>
    </row>
    <row r="772">
      <c r="R772" s="7"/>
      <c r="S772" s="7"/>
      <c r="T772" s="7"/>
      <c r="U772" s="7"/>
      <c r="V772" s="7"/>
      <c r="W772" s="7"/>
    </row>
    <row r="773">
      <c r="R773" s="7"/>
      <c r="S773" s="7"/>
      <c r="T773" s="7"/>
      <c r="U773" s="7"/>
      <c r="V773" s="7"/>
      <c r="W773" s="7"/>
    </row>
    <row r="774">
      <c r="R774" s="7"/>
      <c r="S774" s="7"/>
      <c r="T774" s="7"/>
      <c r="U774" s="7"/>
      <c r="V774" s="7"/>
      <c r="W774" s="7"/>
    </row>
    <row r="775">
      <c r="R775" s="7"/>
      <c r="S775" s="7"/>
      <c r="T775" s="7"/>
      <c r="U775" s="7"/>
      <c r="V775" s="7"/>
      <c r="W775" s="7"/>
    </row>
    <row r="776">
      <c r="R776" s="7"/>
      <c r="S776" s="7"/>
      <c r="T776" s="7"/>
      <c r="U776" s="7"/>
      <c r="V776" s="7"/>
      <c r="W776" s="7"/>
    </row>
    <row r="777">
      <c r="R777" s="7"/>
      <c r="S777" s="7"/>
      <c r="T777" s="7"/>
      <c r="U777" s="7"/>
      <c r="V777" s="7"/>
      <c r="W777" s="7"/>
    </row>
    <row r="778">
      <c r="R778" s="7"/>
      <c r="S778" s="7"/>
      <c r="T778" s="7"/>
      <c r="U778" s="7"/>
      <c r="V778" s="7"/>
      <c r="W778" s="7"/>
    </row>
    <row r="779">
      <c r="R779" s="7"/>
      <c r="S779" s="7"/>
      <c r="T779" s="7"/>
      <c r="U779" s="7"/>
      <c r="V779" s="7"/>
      <c r="W779" s="7"/>
    </row>
    <row r="780">
      <c r="R780" s="7"/>
      <c r="S780" s="7"/>
      <c r="T780" s="7"/>
      <c r="U780" s="7"/>
      <c r="V780" s="7"/>
      <c r="W780" s="7"/>
    </row>
    <row r="781">
      <c r="R781" s="7"/>
      <c r="S781" s="7"/>
      <c r="T781" s="7"/>
      <c r="U781" s="7"/>
      <c r="V781" s="7"/>
      <c r="W781" s="7"/>
    </row>
    <row r="782">
      <c r="R782" s="7"/>
      <c r="S782" s="7"/>
      <c r="T782" s="7"/>
      <c r="U782" s="7"/>
      <c r="V782" s="7"/>
      <c r="W782" s="7"/>
    </row>
    <row r="783">
      <c r="R783" s="7"/>
      <c r="S783" s="7"/>
      <c r="T783" s="7"/>
      <c r="U783" s="7"/>
      <c r="V783" s="7"/>
      <c r="W783" s="7"/>
    </row>
    <row r="784">
      <c r="R784" s="7"/>
      <c r="S784" s="7"/>
      <c r="T784" s="7"/>
      <c r="U784" s="7"/>
      <c r="V784" s="7"/>
      <c r="W784" s="7"/>
    </row>
    <row r="785">
      <c r="R785" s="7"/>
      <c r="S785" s="7"/>
      <c r="T785" s="7"/>
      <c r="U785" s="7"/>
      <c r="V785" s="7"/>
      <c r="W785" s="7"/>
    </row>
    <row r="786">
      <c r="R786" s="7"/>
      <c r="S786" s="7"/>
      <c r="T786" s="7"/>
      <c r="U786" s="7"/>
      <c r="V786" s="7"/>
      <c r="W786" s="7"/>
    </row>
    <row r="787">
      <c r="R787" s="7"/>
      <c r="S787" s="7"/>
      <c r="T787" s="7"/>
      <c r="U787" s="7"/>
      <c r="V787" s="7"/>
      <c r="W787" s="7"/>
    </row>
    <row r="788">
      <c r="R788" s="7"/>
      <c r="S788" s="7"/>
      <c r="T788" s="7"/>
      <c r="U788" s="7"/>
      <c r="V788" s="7"/>
      <c r="W788" s="7"/>
    </row>
    <row r="789">
      <c r="R789" s="7"/>
      <c r="S789" s="7"/>
      <c r="T789" s="7"/>
      <c r="U789" s="7"/>
      <c r="V789" s="7"/>
      <c r="W789" s="7"/>
    </row>
    <row r="790">
      <c r="R790" s="7"/>
      <c r="S790" s="7"/>
      <c r="T790" s="7"/>
      <c r="U790" s="7"/>
      <c r="V790" s="7"/>
      <c r="W790" s="7"/>
    </row>
    <row r="791">
      <c r="R791" s="7"/>
      <c r="S791" s="7"/>
      <c r="T791" s="7"/>
      <c r="U791" s="7"/>
      <c r="V791" s="7"/>
      <c r="W791" s="7"/>
    </row>
    <row r="792">
      <c r="R792" s="7"/>
      <c r="S792" s="7"/>
      <c r="T792" s="7"/>
      <c r="U792" s="7"/>
      <c r="V792" s="7"/>
      <c r="W792" s="7"/>
    </row>
    <row r="793">
      <c r="R793" s="7"/>
      <c r="S793" s="7"/>
      <c r="T793" s="7"/>
      <c r="U793" s="7"/>
      <c r="V793" s="7"/>
      <c r="W793" s="7"/>
    </row>
    <row r="794">
      <c r="R794" s="7"/>
      <c r="S794" s="7"/>
      <c r="T794" s="7"/>
      <c r="U794" s="7"/>
      <c r="V794" s="7"/>
      <c r="W794" s="7"/>
    </row>
    <row r="795">
      <c r="R795" s="7"/>
      <c r="S795" s="7"/>
      <c r="T795" s="7"/>
      <c r="U795" s="7"/>
      <c r="V795" s="7"/>
      <c r="W795" s="7"/>
    </row>
    <row r="796">
      <c r="R796" s="7"/>
      <c r="S796" s="7"/>
      <c r="T796" s="7"/>
      <c r="U796" s="7"/>
      <c r="V796" s="7"/>
      <c r="W796" s="7"/>
    </row>
    <row r="797">
      <c r="R797" s="7"/>
      <c r="S797" s="7"/>
      <c r="T797" s="7"/>
      <c r="U797" s="7"/>
      <c r="V797" s="7"/>
      <c r="W797" s="7"/>
    </row>
    <row r="798">
      <c r="R798" s="7"/>
      <c r="S798" s="7"/>
      <c r="T798" s="7"/>
      <c r="U798" s="7"/>
      <c r="V798" s="7"/>
      <c r="W798" s="7"/>
    </row>
    <row r="799">
      <c r="R799" s="7"/>
      <c r="S799" s="7"/>
      <c r="T799" s="7"/>
      <c r="U799" s="7"/>
      <c r="V799" s="7"/>
      <c r="W799" s="7"/>
    </row>
    <row r="800">
      <c r="R800" s="7"/>
      <c r="S800" s="7"/>
      <c r="T800" s="7"/>
      <c r="U800" s="7"/>
      <c r="V800" s="7"/>
      <c r="W800" s="7"/>
    </row>
    <row r="801">
      <c r="R801" s="7"/>
      <c r="S801" s="7"/>
      <c r="T801" s="7"/>
      <c r="U801" s="7"/>
      <c r="V801" s="7"/>
      <c r="W801" s="7"/>
    </row>
    <row r="802">
      <c r="R802" s="7"/>
      <c r="S802" s="7"/>
      <c r="T802" s="7"/>
      <c r="U802" s="7"/>
      <c r="V802" s="7"/>
      <c r="W802" s="7"/>
    </row>
    <row r="803">
      <c r="R803" s="7"/>
      <c r="S803" s="7"/>
      <c r="T803" s="7"/>
      <c r="U803" s="7"/>
      <c r="V803" s="7"/>
      <c r="W803" s="7"/>
    </row>
    <row r="804">
      <c r="R804" s="7"/>
      <c r="S804" s="7"/>
      <c r="T804" s="7"/>
      <c r="U804" s="7"/>
      <c r="V804" s="7"/>
      <c r="W804" s="7"/>
    </row>
    <row r="805">
      <c r="R805" s="7"/>
      <c r="S805" s="7"/>
      <c r="T805" s="7"/>
      <c r="U805" s="7"/>
      <c r="V805" s="7"/>
      <c r="W805" s="7"/>
    </row>
    <row r="806">
      <c r="R806" s="7"/>
      <c r="S806" s="7"/>
      <c r="T806" s="7"/>
      <c r="U806" s="7"/>
      <c r="V806" s="7"/>
      <c r="W806" s="7"/>
    </row>
    <row r="807">
      <c r="R807" s="7"/>
      <c r="S807" s="7"/>
      <c r="T807" s="7"/>
      <c r="U807" s="7"/>
      <c r="V807" s="7"/>
      <c r="W807" s="7"/>
    </row>
    <row r="808">
      <c r="R808" s="7"/>
      <c r="S808" s="7"/>
      <c r="T808" s="7"/>
      <c r="U808" s="7"/>
      <c r="V808" s="7"/>
      <c r="W808" s="7"/>
    </row>
    <row r="809">
      <c r="R809" s="7"/>
      <c r="S809" s="7"/>
      <c r="T809" s="7"/>
      <c r="U809" s="7"/>
      <c r="V809" s="7"/>
      <c r="W809" s="7"/>
    </row>
    <row r="810">
      <c r="R810" s="7"/>
      <c r="S810" s="7"/>
      <c r="T810" s="7"/>
      <c r="U810" s="7"/>
      <c r="V810" s="7"/>
      <c r="W810" s="7"/>
    </row>
    <row r="811">
      <c r="R811" s="7"/>
      <c r="S811" s="7"/>
      <c r="T811" s="7"/>
      <c r="U811" s="7"/>
      <c r="V811" s="7"/>
      <c r="W811" s="7"/>
    </row>
    <row r="812">
      <c r="R812" s="7"/>
      <c r="S812" s="7"/>
      <c r="T812" s="7"/>
      <c r="U812" s="7"/>
      <c r="V812" s="7"/>
      <c r="W812" s="7"/>
    </row>
    <row r="813">
      <c r="R813" s="7"/>
      <c r="S813" s="7"/>
      <c r="T813" s="7"/>
      <c r="U813" s="7"/>
      <c r="V813" s="7"/>
      <c r="W813" s="7"/>
    </row>
    <row r="814">
      <c r="R814" s="7"/>
      <c r="S814" s="7"/>
      <c r="T814" s="7"/>
      <c r="U814" s="7"/>
      <c r="V814" s="7"/>
      <c r="W814" s="7"/>
    </row>
    <row r="815">
      <c r="R815" s="7"/>
      <c r="S815" s="7"/>
      <c r="T815" s="7"/>
      <c r="U815" s="7"/>
      <c r="V815" s="7"/>
      <c r="W815" s="7"/>
    </row>
    <row r="816">
      <c r="R816" s="7"/>
      <c r="S816" s="7"/>
      <c r="T816" s="7"/>
      <c r="U816" s="7"/>
      <c r="V816" s="7"/>
      <c r="W816" s="7"/>
    </row>
    <row r="817">
      <c r="R817" s="7"/>
      <c r="S817" s="7"/>
      <c r="T817" s="7"/>
      <c r="U817" s="7"/>
      <c r="V817" s="7"/>
      <c r="W817" s="7"/>
    </row>
    <row r="818">
      <c r="R818" s="7"/>
      <c r="S818" s="7"/>
      <c r="T818" s="7"/>
      <c r="U818" s="7"/>
      <c r="V818" s="7"/>
      <c r="W818" s="7"/>
    </row>
    <row r="819">
      <c r="R819" s="7"/>
      <c r="S819" s="7"/>
      <c r="T819" s="7"/>
      <c r="U819" s="7"/>
      <c r="V819" s="7"/>
      <c r="W819" s="7"/>
    </row>
    <row r="820">
      <c r="R820" s="7"/>
      <c r="S820" s="7"/>
      <c r="T820" s="7"/>
      <c r="U820" s="7"/>
      <c r="V820" s="7"/>
      <c r="W820" s="7"/>
    </row>
    <row r="821">
      <c r="R821" s="7"/>
      <c r="S821" s="7"/>
      <c r="T821" s="7"/>
      <c r="U821" s="7"/>
      <c r="V821" s="7"/>
      <c r="W821" s="7"/>
    </row>
    <row r="822">
      <c r="R822" s="7"/>
      <c r="S822" s="7"/>
      <c r="T822" s="7"/>
      <c r="U822" s="7"/>
      <c r="V822" s="7"/>
      <c r="W822" s="7"/>
    </row>
    <row r="823">
      <c r="R823" s="7"/>
      <c r="S823" s="7"/>
      <c r="T823" s="7"/>
      <c r="U823" s="7"/>
      <c r="V823" s="7"/>
      <c r="W823" s="7"/>
    </row>
    <row r="824">
      <c r="R824" s="7"/>
      <c r="S824" s="7"/>
      <c r="T824" s="7"/>
      <c r="U824" s="7"/>
      <c r="V824" s="7"/>
      <c r="W824" s="7"/>
    </row>
    <row r="825">
      <c r="R825" s="7"/>
      <c r="S825" s="7"/>
      <c r="T825" s="7"/>
      <c r="U825" s="7"/>
      <c r="V825" s="7"/>
      <c r="W825" s="7"/>
    </row>
    <row r="826">
      <c r="R826" s="7"/>
      <c r="S826" s="7"/>
      <c r="T826" s="7"/>
      <c r="U826" s="7"/>
      <c r="V826" s="7"/>
      <c r="W826" s="7"/>
    </row>
    <row r="827">
      <c r="R827" s="7"/>
      <c r="S827" s="7"/>
      <c r="T827" s="7"/>
      <c r="U827" s="7"/>
      <c r="V827" s="7"/>
      <c r="W827" s="7"/>
    </row>
    <row r="828">
      <c r="R828" s="7"/>
      <c r="S828" s="7"/>
      <c r="T828" s="7"/>
      <c r="U828" s="7"/>
      <c r="V828" s="7"/>
      <c r="W828" s="7"/>
    </row>
    <row r="829">
      <c r="R829" s="7"/>
      <c r="S829" s="7"/>
      <c r="T829" s="7"/>
      <c r="U829" s="7"/>
      <c r="V829" s="7"/>
      <c r="W829" s="7"/>
    </row>
    <row r="830">
      <c r="R830" s="7"/>
      <c r="S830" s="7"/>
      <c r="T830" s="7"/>
      <c r="U830" s="7"/>
      <c r="V830" s="7"/>
      <c r="W830" s="7"/>
    </row>
    <row r="831">
      <c r="R831" s="7"/>
      <c r="S831" s="7"/>
      <c r="T831" s="7"/>
      <c r="U831" s="7"/>
      <c r="V831" s="7"/>
      <c r="W831" s="7"/>
    </row>
    <row r="832">
      <c r="R832" s="7"/>
      <c r="S832" s="7"/>
      <c r="T832" s="7"/>
      <c r="U832" s="7"/>
      <c r="V832" s="7"/>
      <c r="W832" s="7"/>
    </row>
    <row r="833">
      <c r="R833" s="7"/>
      <c r="S833" s="7"/>
      <c r="T833" s="7"/>
      <c r="U833" s="7"/>
      <c r="V833" s="7"/>
      <c r="W833" s="7"/>
    </row>
    <row r="834">
      <c r="R834" s="7"/>
      <c r="S834" s="7"/>
      <c r="T834" s="7"/>
      <c r="U834" s="7"/>
      <c r="V834" s="7"/>
      <c r="W834" s="7"/>
    </row>
    <row r="835">
      <c r="R835" s="7"/>
      <c r="S835" s="7"/>
      <c r="T835" s="7"/>
      <c r="U835" s="7"/>
      <c r="V835" s="7"/>
      <c r="W835" s="7"/>
    </row>
    <row r="836">
      <c r="R836" s="7"/>
      <c r="S836" s="7"/>
      <c r="T836" s="7"/>
      <c r="U836" s="7"/>
      <c r="V836" s="7"/>
      <c r="W836" s="7"/>
    </row>
    <row r="837">
      <c r="R837" s="7"/>
      <c r="S837" s="7"/>
      <c r="T837" s="7"/>
      <c r="U837" s="7"/>
      <c r="V837" s="7"/>
      <c r="W837" s="7"/>
    </row>
    <row r="838">
      <c r="R838" s="7"/>
      <c r="S838" s="7"/>
      <c r="T838" s="7"/>
      <c r="U838" s="7"/>
      <c r="V838" s="7"/>
      <c r="W838" s="7"/>
    </row>
    <row r="839">
      <c r="R839" s="7"/>
      <c r="S839" s="7"/>
      <c r="T839" s="7"/>
      <c r="U839" s="7"/>
      <c r="V839" s="7"/>
      <c r="W839" s="7"/>
    </row>
    <row r="840">
      <c r="R840" s="7"/>
      <c r="S840" s="7"/>
      <c r="T840" s="7"/>
      <c r="U840" s="7"/>
      <c r="V840" s="7"/>
      <c r="W840" s="7"/>
    </row>
    <row r="841">
      <c r="R841" s="7"/>
      <c r="S841" s="7"/>
      <c r="T841" s="7"/>
      <c r="U841" s="7"/>
      <c r="V841" s="7"/>
      <c r="W841" s="7"/>
    </row>
    <row r="842">
      <c r="R842" s="7"/>
      <c r="S842" s="7"/>
      <c r="T842" s="7"/>
      <c r="U842" s="7"/>
      <c r="V842" s="7"/>
      <c r="W842" s="7"/>
    </row>
    <row r="843">
      <c r="R843" s="7"/>
      <c r="S843" s="7"/>
      <c r="T843" s="7"/>
      <c r="U843" s="7"/>
      <c r="V843" s="7"/>
      <c r="W843" s="7"/>
    </row>
    <row r="844">
      <c r="R844" s="7"/>
      <c r="S844" s="7"/>
      <c r="T844" s="7"/>
      <c r="U844" s="7"/>
      <c r="V844" s="7"/>
      <c r="W844" s="7"/>
    </row>
    <row r="845">
      <c r="R845" s="7"/>
      <c r="S845" s="7"/>
      <c r="T845" s="7"/>
      <c r="U845" s="7"/>
      <c r="V845" s="7"/>
      <c r="W845" s="7"/>
    </row>
    <row r="846">
      <c r="R846" s="7"/>
      <c r="S846" s="7"/>
      <c r="T846" s="7"/>
      <c r="U846" s="7"/>
      <c r="V846" s="7"/>
      <c r="W846" s="7"/>
    </row>
    <row r="847">
      <c r="R847" s="7"/>
      <c r="S847" s="7"/>
      <c r="T847" s="7"/>
      <c r="U847" s="7"/>
      <c r="V847" s="7"/>
      <c r="W847" s="7"/>
    </row>
    <row r="848">
      <c r="R848" s="7"/>
      <c r="S848" s="7"/>
      <c r="T848" s="7"/>
      <c r="U848" s="7"/>
      <c r="V848" s="7"/>
      <c r="W848" s="7"/>
    </row>
    <row r="849">
      <c r="R849" s="7"/>
      <c r="S849" s="7"/>
      <c r="T849" s="7"/>
      <c r="U849" s="7"/>
      <c r="V849" s="7"/>
      <c r="W849" s="7"/>
    </row>
    <row r="850">
      <c r="R850" s="7"/>
      <c r="S850" s="7"/>
      <c r="T850" s="7"/>
      <c r="U850" s="7"/>
      <c r="V850" s="7"/>
      <c r="W850" s="7"/>
    </row>
    <row r="851">
      <c r="R851" s="7"/>
      <c r="S851" s="7"/>
      <c r="T851" s="7"/>
      <c r="U851" s="7"/>
      <c r="V851" s="7"/>
      <c r="W851" s="7"/>
    </row>
    <row r="852">
      <c r="R852" s="7"/>
      <c r="S852" s="7"/>
      <c r="T852" s="7"/>
      <c r="U852" s="7"/>
      <c r="V852" s="7"/>
      <c r="W852" s="7"/>
    </row>
    <row r="853">
      <c r="R853" s="7"/>
      <c r="S853" s="7"/>
      <c r="T853" s="7"/>
      <c r="U853" s="7"/>
      <c r="V853" s="7"/>
      <c r="W853" s="7"/>
    </row>
    <row r="854">
      <c r="R854" s="7"/>
      <c r="S854" s="7"/>
      <c r="T854" s="7"/>
      <c r="U854" s="7"/>
      <c r="V854" s="7"/>
      <c r="W854" s="7"/>
    </row>
    <row r="855">
      <c r="R855" s="7"/>
      <c r="S855" s="7"/>
      <c r="T855" s="7"/>
      <c r="U855" s="7"/>
      <c r="V855" s="7"/>
      <c r="W855" s="7"/>
    </row>
    <row r="856">
      <c r="R856" s="7"/>
      <c r="S856" s="7"/>
      <c r="T856" s="7"/>
      <c r="U856" s="7"/>
      <c r="V856" s="7"/>
      <c r="W856" s="7"/>
    </row>
    <row r="857">
      <c r="R857" s="7"/>
      <c r="S857" s="7"/>
      <c r="T857" s="7"/>
      <c r="U857" s="7"/>
      <c r="V857" s="7"/>
      <c r="W857" s="7"/>
    </row>
    <row r="858">
      <c r="R858" s="7"/>
      <c r="S858" s="7"/>
      <c r="T858" s="7"/>
      <c r="U858" s="7"/>
      <c r="V858" s="7"/>
      <c r="W858" s="7"/>
    </row>
    <row r="859">
      <c r="R859" s="7"/>
      <c r="S859" s="7"/>
      <c r="T859" s="7"/>
      <c r="U859" s="7"/>
      <c r="V859" s="7"/>
      <c r="W859" s="7"/>
    </row>
    <row r="860">
      <c r="R860" s="7"/>
      <c r="S860" s="7"/>
      <c r="T860" s="7"/>
      <c r="U860" s="7"/>
      <c r="V860" s="7"/>
      <c r="W860" s="7"/>
    </row>
    <row r="861">
      <c r="R861" s="7"/>
      <c r="S861" s="7"/>
      <c r="T861" s="7"/>
      <c r="U861" s="7"/>
      <c r="V861" s="7"/>
      <c r="W861" s="7"/>
    </row>
    <row r="862">
      <c r="R862" s="7"/>
      <c r="S862" s="7"/>
      <c r="T862" s="7"/>
      <c r="U862" s="7"/>
      <c r="V862" s="7"/>
      <c r="W862" s="7"/>
    </row>
    <row r="863">
      <c r="R863" s="7"/>
      <c r="S863" s="7"/>
      <c r="T863" s="7"/>
      <c r="U863" s="7"/>
      <c r="V863" s="7"/>
      <c r="W863" s="7"/>
    </row>
    <row r="864">
      <c r="R864" s="7"/>
      <c r="S864" s="7"/>
      <c r="T864" s="7"/>
      <c r="U864" s="7"/>
      <c r="V864" s="7"/>
      <c r="W864" s="7"/>
    </row>
    <row r="865">
      <c r="R865" s="7"/>
      <c r="S865" s="7"/>
      <c r="T865" s="7"/>
      <c r="U865" s="7"/>
      <c r="V865" s="7"/>
      <c r="W865" s="7"/>
    </row>
    <row r="866">
      <c r="R866" s="7"/>
      <c r="S866" s="7"/>
      <c r="T866" s="7"/>
      <c r="U866" s="7"/>
      <c r="V866" s="7"/>
      <c r="W866" s="7"/>
    </row>
    <row r="867">
      <c r="R867" s="7"/>
      <c r="S867" s="7"/>
      <c r="T867" s="7"/>
      <c r="U867" s="7"/>
      <c r="V867" s="7"/>
      <c r="W867" s="7"/>
    </row>
    <row r="868">
      <c r="R868" s="7"/>
      <c r="S868" s="7"/>
      <c r="T868" s="7"/>
      <c r="U868" s="7"/>
      <c r="V868" s="7"/>
      <c r="W868" s="7"/>
    </row>
    <row r="869">
      <c r="R869" s="7"/>
      <c r="S869" s="7"/>
      <c r="T869" s="7"/>
      <c r="U869" s="7"/>
      <c r="V869" s="7"/>
      <c r="W869" s="7"/>
    </row>
    <row r="870">
      <c r="R870" s="7"/>
      <c r="S870" s="7"/>
      <c r="T870" s="7"/>
      <c r="U870" s="7"/>
      <c r="V870" s="7"/>
      <c r="W870" s="7"/>
    </row>
    <row r="871">
      <c r="R871" s="7"/>
      <c r="S871" s="7"/>
      <c r="T871" s="7"/>
      <c r="U871" s="7"/>
      <c r="V871" s="7"/>
      <c r="W871" s="7"/>
    </row>
    <row r="872">
      <c r="R872" s="7"/>
      <c r="S872" s="7"/>
      <c r="T872" s="7"/>
      <c r="U872" s="7"/>
      <c r="V872" s="7"/>
      <c r="W872" s="7"/>
    </row>
    <row r="873">
      <c r="R873" s="7"/>
      <c r="S873" s="7"/>
      <c r="T873" s="7"/>
      <c r="U873" s="7"/>
      <c r="V873" s="7"/>
      <c r="W873" s="7"/>
    </row>
    <row r="874">
      <c r="R874" s="7"/>
      <c r="S874" s="7"/>
      <c r="T874" s="7"/>
      <c r="U874" s="7"/>
      <c r="V874" s="7"/>
      <c r="W874" s="7"/>
    </row>
    <row r="875">
      <c r="R875" s="7"/>
      <c r="S875" s="7"/>
      <c r="T875" s="7"/>
      <c r="U875" s="7"/>
      <c r="V875" s="7"/>
      <c r="W875" s="7"/>
    </row>
    <row r="876">
      <c r="R876" s="7"/>
      <c r="S876" s="7"/>
      <c r="T876" s="7"/>
      <c r="U876" s="7"/>
      <c r="V876" s="7"/>
      <c r="W876" s="7"/>
    </row>
    <row r="877">
      <c r="R877" s="7"/>
      <c r="S877" s="7"/>
      <c r="T877" s="7"/>
      <c r="U877" s="7"/>
      <c r="V877" s="7"/>
      <c r="W877" s="7"/>
    </row>
    <row r="878">
      <c r="R878" s="7"/>
      <c r="S878" s="7"/>
      <c r="T878" s="7"/>
      <c r="U878" s="7"/>
      <c r="V878" s="7"/>
      <c r="W878" s="7"/>
    </row>
    <row r="879">
      <c r="R879" s="7"/>
      <c r="S879" s="7"/>
      <c r="T879" s="7"/>
      <c r="U879" s="7"/>
      <c r="V879" s="7"/>
      <c r="W879" s="7"/>
    </row>
    <row r="880">
      <c r="R880" s="7"/>
      <c r="S880" s="7"/>
      <c r="T880" s="7"/>
      <c r="U880" s="7"/>
      <c r="V880" s="7"/>
      <c r="W880" s="7"/>
    </row>
    <row r="881">
      <c r="R881" s="7"/>
      <c r="S881" s="7"/>
      <c r="T881" s="7"/>
      <c r="U881" s="7"/>
      <c r="V881" s="7"/>
      <c r="W881" s="7"/>
    </row>
    <row r="882">
      <c r="R882" s="7"/>
      <c r="S882" s="7"/>
      <c r="T882" s="7"/>
      <c r="U882" s="7"/>
      <c r="V882" s="7"/>
      <c r="W882" s="7"/>
    </row>
    <row r="883">
      <c r="R883" s="7"/>
      <c r="S883" s="7"/>
      <c r="T883" s="7"/>
      <c r="U883" s="7"/>
      <c r="V883" s="7"/>
      <c r="W883" s="7"/>
    </row>
    <row r="884">
      <c r="R884" s="7"/>
      <c r="S884" s="7"/>
      <c r="T884" s="7"/>
      <c r="U884" s="7"/>
      <c r="V884" s="7"/>
      <c r="W884" s="7"/>
    </row>
    <row r="885">
      <c r="R885" s="7"/>
      <c r="S885" s="7"/>
      <c r="T885" s="7"/>
      <c r="U885" s="7"/>
      <c r="V885" s="7"/>
      <c r="W885" s="7"/>
    </row>
    <row r="886">
      <c r="R886" s="7"/>
      <c r="S886" s="7"/>
      <c r="T886" s="7"/>
      <c r="U886" s="7"/>
      <c r="V886" s="7"/>
      <c r="W886" s="7"/>
    </row>
    <row r="887">
      <c r="R887" s="7"/>
      <c r="S887" s="7"/>
      <c r="T887" s="7"/>
      <c r="U887" s="7"/>
      <c r="V887" s="7"/>
      <c r="W887" s="7"/>
    </row>
    <row r="888">
      <c r="R888" s="7"/>
      <c r="S888" s="7"/>
      <c r="T888" s="7"/>
      <c r="U888" s="7"/>
      <c r="V888" s="7"/>
      <c r="W888" s="7"/>
    </row>
    <row r="889">
      <c r="R889" s="7"/>
      <c r="S889" s="7"/>
      <c r="T889" s="7"/>
      <c r="U889" s="7"/>
      <c r="V889" s="7"/>
      <c r="W889" s="7"/>
    </row>
    <row r="890">
      <c r="R890" s="7"/>
      <c r="S890" s="7"/>
      <c r="T890" s="7"/>
      <c r="U890" s="7"/>
      <c r="V890" s="7"/>
      <c r="W890" s="7"/>
    </row>
    <row r="891">
      <c r="R891" s="7"/>
      <c r="S891" s="7"/>
      <c r="T891" s="7"/>
      <c r="U891" s="7"/>
      <c r="V891" s="7"/>
      <c r="W891" s="7"/>
    </row>
    <row r="892">
      <c r="R892" s="7"/>
      <c r="S892" s="7"/>
      <c r="T892" s="7"/>
      <c r="U892" s="7"/>
      <c r="V892" s="7"/>
      <c r="W892" s="7"/>
    </row>
    <row r="893">
      <c r="R893" s="7"/>
      <c r="S893" s="7"/>
      <c r="T893" s="7"/>
      <c r="U893" s="7"/>
      <c r="V893" s="7"/>
      <c r="W893" s="7"/>
    </row>
    <row r="894">
      <c r="R894" s="7"/>
      <c r="S894" s="7"/>
      <c r="T894" s="7"/>
      <c r="U894" s="7"/>
      <c r="V894" s="7"/>
      <c r="W894" s="7"/>
    </row>
    <row r="895">
      <c r="R895" s="7"/>
      <c r="S895" s="7"/>
      <c r="T895" s="7"/>
      <c r="U895" s="7"/>
      <c r="V895" s="7"/>
      <c r="W895" s="7"/>
    </row>
    <row r="896">
      <c r="R896" s="7"/>
      <c r="S896" s="7"/>
      <c r="T896" s="7"/>
      <c r="U896" s="7"/>
      <c r="V896" s="7"/>
      <c r="W896" s="7"/>
    </row>
    <row r="897">
      <c r="R897" s="7"/>
      <c r="S897" s="7"/>
      <c r="T897" s="7"/>
      <c r="U897" s="7"/>
      <c r="V897" s="7"/>
      <c r="W897" s="7"/>
    </row>
    <row r="898">
      <c r="R898" s="7"/>
      <c r="S898" s="7"/>
      <c r="T898" s="7"/>
      <c r="U898" s="7"/>
      <c r="V898" s="7"/>
      <c r="W898" s="7"/>
    </row>
    <row r="899">
      <c r="R899" s="7"/>
      <c r="S899" s="7"/>
      <c r="T899" s="7"/>
      <c r="U899" s="7"/>
      <c r="V899" s="7"/>
      <c r="W899" s="7"/>
    </row>
    <row r="900">
      <c r="R900" s="7"/>
      <c r="S900" s="7"/>
      <c r="T900" s="7"/>
      <c r="U900" s="7"/>
      <c r="V900" s="7"/>
      <c r="W900" s="7"/>
    </row>
    <row r="901">
      <c r="R901" s="7"/>
      <c r="S901" s="7"/>
      <c r="T901" s="7"/>
      <c r="U901" s="7"/>
      <c r="V901" s="7"/>
      <c r="W901" s="7"/>
    </row>
    <row r="902">
      <c r="R902" s="7"/>
      <c r="S902" s="7"/>
      <c r="T902" s="7"/>
      <c r="U902" s="7"/>
      <c r="V902" s="7"/>
      <c r="W902" s="7"/>
    </row>
    <row r="903">
      <c r="R903" s="7"/>
      <c r="S903" s="7"/>
      <c r="T903" s="7"/>
      <c r="U903" s="7"/>
      <c r="V903" s="7"/>
      <c r="W903" s="7"/>
    </row>
    <row r="904">
      <c r="R904" s="7"/>
      <c r="S904" s="7"/>
      <c r="T904" s="7"/>
      <c r="U904" s="7"/>
      <c r="V904" s="7"/>
      <c r="W904" s="7"/>
    </row>
    <row r="905">
      <c r="R905" s="7"/>
      <c r="S905" s="7"/>
      <c r="T905" s="7"/>
      <c r="U905" s="7"/>
      <c r="V905" s="7"/>
      <c r="W905" s="7"/>
    </row>
    <row r="906">
      <c r="R906" s="7"/>
      <c r="S906" s="7"/>
      <c r="T906" s="7"/>
      <c r="U906" s="7"/>
      <c r="V906" s="7"/>
      <c r="W906" s="7"/>
    </row>
    <row r="907">
      <c r="R907" s="7"/>
      <c r="S907" s="7"/>
      <c r="T907" s="7"/>
      <c r="U907" s="7"/>
      <c r="V907" s="7"/>
      <c r="W907" s="7"/>
    </row>
    <row r="908">
      <c r="R908" s="7"/>
      <c r="S908" s="7"/>
      <c r="T908" s="7"/>
      <c r="U908" s="7"/>
      <c r="V908" s="7"/>
      <c r="W908" s="7"/>
    </row>
    <row r="909">
      <c r="R909" s="7"/>
      <c r="S909" s="7"/>
      <c r="T909" s="7"/>
      <c r="U909" s="7"/>
      <c r="V909" s="7"/>
      <c r="W909" s="7"/>
    </row>
    <row r="910">
      <c r="R910" s="7"/>
      <c r="S910" s="7"/>
      <c r="T910" s="7"/>
      <c r="U910" s="7"/>
      <c r="V910" s="7"/>
      <c r="W910" s="7"/>
    </row>
    <row r="911">
      <c r="R911" s="7"/>
      <c r="S911" s="7"/>
      <c r="T911" s="7"/>
      <c r="U911" s="7"/>
      <c r="V911" s="7"/>
      <c r="W911" s="7"/>
    </row>
    <row r="912">
      <c r="R912" s="7"/>
      <c r="S912" s="7"/>
      <c r="T912" s="7"/>
      <c r="U912" s="7"/>
      <c r="V912" s="7"/>
      <c r="W912" s="7"/>
    </row>
    <row r="913">
      <c r="R913" s="7"/>
      <c r="S913" s="7"/>
      <c r="T913" s="7"/>
      <c r="U913" s="7"/>
      <c r="V913" s="7"/>
      <c r="W913" s="7"/>
    </row>
    <row r="914">
      <c r="R914" s="7"/>
      <c r="S914" s="7"/>
      <c r="T914" s="7"/>
      <c r="U914" s="7"/>
      <c r="V914" s="7"/>
      <c r="W914" s="7"/>
    </row>
    <row r="915">
      <c r="R915" s="7"/>
      <c r="S915" s="7"/>
      <c r="T915" s="7"/>
      <c r="U915" s="7"/>
      <c r="V915" s="7"/>
      <c r="W915" s="7"/>
    </row>
    <row r="916">
      <c r="R916" s="7"/>
      <c r="S916" s="7"/>
      <c r="T916" s="7"/>
      <c r="U916" s="7"/>
      <c r="V916" s="7"/>
      <c r="W916" s="7"/>
    </row>
    <row r="917">
      <c r="R917" s="7"/>
      <c r="S917" s="7"/>
      <c r="T917" s="7"/>
      <c r="U917" s="7"/>
      <c r="V917" s="7"/>
      <c r="W917" s="7"/>
    </row>
    <row r="918">
      <c r="R918" s="7"/>
      <c r="S918" s="7"/>
      <c r="T918" s="7"/>
      <c r="U918" s="7"/>
      <c r="V918" s="7"/>
      <c r="W918" s="7"/>
    </row>
    <row r="919">
      <c r="R919" s="7"/>
      <c r="S919" s="7"/>
      <c r="T919" s="7"/>
      <c r="U919" s="7"/>
      <c r="V919" s="7"/>
      <c r="W919" s="7"/>
    </row>
    <row r="920">
      <c r="R920" s="7"/>
      <c r="S920" s="7"/>
      <c r="T920" s="7"/>
      <c r="U920" s="7"/>
      <c r="V920" s="7"/>
      <c r="W920" s="7"/>
    </row>
    <row r="921">
      <c r="R921" s="7"/>
      <c r="S921" s="7"/>
      <c r="T921" s="7"/>
      <c r="U921" s="7"/>
      <c r="V921" s="7"/>
      <c r="W921" s="7"/>
    </row>
    <row r="922">
      <c r="R922" s="7"/>
      <c r="S922" s="7"/>
      <c r="T922" s="7"/>
      <c r="U922" s="7"/>
      <c r="V922" s="7"/>
      <c r="W922" s="7"/>
    </row>
    <row r="923">
      <c r="R923" s="7"/>
      <c r="S923" s="7"/>
      <c r="T923" s="7"/>
      <c r="U923" s="7"/>
      <c r="V923" s="7"/>
      <c r="W923" s="7"/>
    </row>
    <row r="924">
      <c r="R924" s="7"/>
      <c r="S924" s="7"/>
      <c r="T924" s="7"/>
      <c r="U924" s="7"/>
      <c r="V924" s="7"/>
      <c r="W924" s="7"/>
    </row>
    <row r="925">
      <c r="R925" s="7"/>
      <c r="S925" s="7"/>
      <c r="T925" s="7"/>
      <c r="U925" s="7"/>
      <c r="V925" s="7"/>
      <c r="W925" s="7"/>
    </row>
    <row r="926">
      <c r="R926" s="7"/>
      <c r="S926" s="7"/>
      <c r="T926" s="7"/>
      <c r="U926" s="7"/>
      <c r="V926" s="7"/>
      <c r="W926" s="7"/>
    </row>
    <row r="927">
      <c r="R927" s="7"/>
      <c r="S927" s="7"/>
      <c r="T927" s="7"/>
      <c r="U927" s="7"/>
      <c r="V927" s="7"/>
      <c r="W927" s="7"/>
    </row>
    <row r="928">
      <c r="R928" s="7"/>
      <c r="S928" s="7"/>
      <c r="T928" s="7"/>
      <c r="U928" s="7"/>
      <c r="V928" s="7"/>
      <c r="W928" s="7"/>
    </row>
    <row r="929">
      <c r="R929" s="7"/>
      <c r="S929" s="7"/>
      <c r="T929" s="7"/>
      <c r="U929" s="7"/>
      <c r="V929" s="7"/>
      <c r="W929" s="7"/>
    </row>
    <row r="930">
      <c r="R930" s="7"/>
      <c r="S930" s="7"/>
      <c r="T930" s="7"/>
      <c r="U930" s="7"/>
      <c r="V930" s="7"/>
      <c r="W930" s="7"/>
    </row>
    <row r="931">
      <c r="R931" s="7"/>
      <c r="S931" s="7"/>
      <c r="T931" s="7"/>
      <c r="U931" s="7"/>
      <c r="V931" s="7"/>
      <c r="W931" s="7"/>
    </row>
    <row r="932">
      <c r="R932" s="7"/>
      <c r="S932" s="7"/>
      <c r="T932" s="7"/>
      <c r="U932" s="7"/>
      <c r="V932" s="7"/>
      <c r="W932" s="7"/>
    </row>
    <row r="933">
      <c r="R933" s="7"/>
      <c r="S933" s="7"/>
      <c r="T933" s="7"/>
      <c r="U933" s="7"/>
      <c r="V933" s="7"/>
      <c r="W933" s="7"/>
    </row>
    <row r="934">
      <c r="R934" s="7"/>
      <c r="S934" s="7"/>
      <c r="T934" s="7"/>
      <c r="U934" s="7"/>
      <c r="V934" s="7"/>
      <c r="W934" s="7"/>
    </row>
    <row r="935">
      <c r="R935" s="7"/>
      <c r="S935" s="7"/>
      <c r="T935" s="7"/>
      <c r="U935" s="7"/>
      <c r="V935" s="7"/>
      <c r="W935" s="7"/>
    </row>
    <row r="936">
      <c r="R936" s="7"/>
      <c r="S936" s="7"/>
      <c r="T936" s="7"/>
      <c r="U936" s="7"/>
      <c r="V936" s="7"/>
      <c r="W936" s="7"/>
    </row>
    <row r="937">
      <c r="R937" s="7"/>
      <c r="S937" s="7"/>
      <c r="T937" s="7"/>
      <c r="U937" s="7"/>
      <c r="V937" s="7"/>
      <c r="W937" s="7"/>
    </row>
    <row r="938">
      <c r="R938" s="7"/>
      <c r="S938" s="7"/>
      <c r="T938" s="7"/>
      <c r="U938" s="7"/>
      <c r="V938" s="7"/>
      <c r="W938" s="7"/>
    </row>
    <row r="939">
      <c r="R939" s="7"/>
      <c r="S939" s="7"/>
      <c r="T939" s="7"/>
      <c r="U939" s="7"/>
      <c r="V939" s="7"/>
      <c r="W939" s="7"/>
    </row>
    <row r="940">
      <c r="R940" s="7"/>
      <c r="S940" s="7"/>
      <c r="T940" s="7"/>
      <c r="U940" s="7"/>
      <c r="V940" s="7"/>
      <c r="W940" s="7"/>
    </row>
    <row r="941">
      <c r="R941" s="7"/>
      <c r="S941" s="7"/>
      <c r="T941" s="7"/>
      <c r="U941" s="7"/>
      <c r="V941" s="7"/>
      <c r="W941" s="7"/>
    </row>
    <row r="942">
      <c r="R942" s="7"/>
      <c r="S942" s="7"/>
      <c r="T942" s="7"/>
      <c r="U942" s="7"/>
      <c r="V942" s="7"/>
      <c r="W942" s="7"/>
    </row>
    <row r="943">
      <c r="R943" s="7"/>
      <c r="S943" s="7"/>
      <c r="T943" s="7"/>
      <c r="U943" s="7"/>
      <c r="V943" s="7"/>
      <c r="W943" s="7"/>
    </row>
    <row r="944">
      <c r="R944" s="7"/>
      <c r="S944" s="7"/>
      <c r="T944" s="7"/>
      <c r="U944" s="7"/>
      <c r="V944" s="7"/>
      <c r="W944" s="7"/>
    </row>
    <row r="945">
      <c r="R945" s="7"/>
      <c r="S945" s="7"/>
      <c r="T945" s="7"/>
      <c r="U945" s="7"/>
      <c r="V945" s="7"/>
      <c r="W945" s="7"/>
    </row>
    <row r="946">
      <c r="R946" s="7"/>
      <c r="S946" s="7"/>
      <c r="T946" s="7"/>
      <c r="U946" s="7"/>
      <c r="V946" s="7"/>
      <c r="W946" s="7"/>
    </row>
    <row r="947">
      <c r="R947" s="7"/>
      <c r="S947" s="7"/>
      <c r="T947" s="7"/>
      <c r="U947" s="7"/>
      <c r="V947" s="7"/>
      <c r="W947" s="7"/>
    </row>
    <row r="948">
      <c r="R948" s="7"/>
      <c r="S948" s="7"/>
      <c r="T948" s="7"/>
      <c r="U948" s="7"/>
      <c r="V948" s="7"/>
      <c r="W948" s="7"/>
    </row>
    <row r="949">
      <c r="R949" s="7"/>
      <c r="S949" s="7"/>
      <c r="T949" s="7"/>
      <c r="U949" s="7"/>
      <c r="V949" s="7"/>
      <c r="W949" s="7"/>
    </row>
    <row r="950">
      <c r="R950" s="7"/>
      <c r="S950" s="7"/>
      <c r="T950" s="7"/>
      <c r="U950" s="7"/>
      <c r="V950" s="7"/>
      <c r="W950" s="7"/>
    </row>
    <row r="951">
      <c r="R951" s="7"/>
      <c r="S951" s="7"/>
      <c r="T951" s="7"/>
      <c r="U951" s="7"/>
      <c r="V951" s="7"/>
      <c r="W951" s="7"/>
    </row>
    <row r="952">
      <c r="R952" s="7"/>
      <c r="S952" s="7"/>
      <c r="T952" s="7"/>
      <c r="U952" s="7"/>
      <c r="V952" s="7"/>
      <c r="W952" s="7"/>
    </row>
    <row r="953">
      <c r="R953" s="7"/>
      <c r="S953" s="7"/>
      <c r="T953" s="7"/>
      <c r="U953" s="7"/>
      <c r="V953" s="7"/>
      <c r="W953" s="7"/>
    </row>
    <row r="954">
      <c r="R954" s="7"/>
      <c r="S954" s="7"/>
      <c r="T954" s="7"/>
      <c r="U954" s="7"/>
      <c r="V954" s="7"/>
      <c r="W954" s="7"/>
    </row>
    <row r="955">
      <c r="R955" s="7"/>
      <c r="S955" s="7"/>
      <c r="T955" s="7"/>
      <c r="U955" s="7"/>
      <c r="V955" s="7"/>
      <c r="W955" s="7"/>
    </row>
    <row r="956">
      <c r="R956" s="7"/>
      <c r="S956" s="7"/>
      <c r="T956" s="7"/>
      <c r="U956" s="7"/>
      <c r="V956" s="7"/>
      <c r="W956" s="7"/>
    </row>
    <row r="957">
      <c r="R957" s="7"/>
      <c r="S957" s="7"/>
      <c r="T957" s="7"/>
      <c r="U957" s="7"/>
      <c r="V957" s="7"/>
      <c r="W957" s="7"/>
    </row>
    <row r="958">
      <c r="R958" s="7"/>
      <c r="S958" s="7"/>
      <c r="T958" s="7"/>
      <c r="U958" s="7"/>
      <c r="V958" s="7"/>
      <c r="W958" s="7"/>
    </row>
    <row r="959">
      <c r="R959" s="7"/>
      <c r="S959" s="7"/>
      <c r="T959" s="7"/>
      <c r="U959" s="7"/>
      <c r="V959" s="7"/>
      <c r="W959" s="7"/>
    </row>
    <row r="960">
      <c r="R960" s="7"/>
      <c r="S960" s="7"/>
      <c r="T960" s="7"/>
      <c r="U960" s="7"/>
      <c r="V960" s="7"/>
      <c r="W960" s="7"/>
    </row>
    <row r="961">
      <c r="R961" s="7"/>
      <c r="S961" s="7"/>
      <c r="T961" s="7"/>
      <c r="U961" s="7"/>
      <c r="V961" s="7"/>
      <c r="W961" s="7"/>
    </row>
    <row r="962">
      <c r="R962" s="7"/>
      <c r="S962" s="7"/>
      <c r="T962" s="7"/>
      <c r="U962" s="7"/>
      <c r="V962" s="7"/>
      <c r="W962" s="7"/>
    </row>
    <row r="963">
      <c r="R963" s="7"/>
      <c r="S963" s="7"/>
      <c r="T963" s="7"/>
      <c r="U963" s="7"/>
      <c r="V963" s="7"/>
      <c r="W963" s="7"/>
    </row>
    <row r="964">
      <c r="R964" s="7"/>
      <c r="S964" s="7"/>
      <c r="T964" s="7"/>
      <c r="U964" s="7"/>
      <c r="V964" s="7"/>
      <c r="W964" s="7"/>
    </row>
    <row r="965">
      <c r="R965" s="7"/>
      <c r="S965" s="7"/>
      <c r="T965" s="7"/>
      <c r="U965" s="7"/>
      <c r="V965" s="7"/>
      <c r="W965" s="7"/>
    </row>
    <row r="966">
      <c r="R966" s="7"/>
      <c r="S966" s="7"/>
      <c r="T966" s="7"/>
      <c r="U966" s="7"/>
      <c r="V966" s="7"/>
      <c r="W966" s="7"/>
    </row>
    <row r="967">
      <c r="R967" s="7"/>
      <c r="S967" s="7"/>
      <c r="T967" s="7"/>
      <c r="U967" s="7"/>
      <c r="V967" s="7"/>
      <c r="W967" s="7"/>
    </row>
    <row r="968">
      <c r="R968" s="7"/>
      <c r="S968" s="7"/>
      <c r="T968" s="7"/>
      <c r="U968" s="7"/>
      <c r="V968" s="7"/>
      <c r="W968" s="7"/>
    </row>
    <row r="969">
      <c r="R969" s="7"/>
      <c r="S969" s="7"/>
      <c r="T969" s="7"/>
      <c r="U969" s="7"/>
      <c r="V969" s="7"/>
      <c r="W969" s="7"/>
    </row>
    <row r="970">
      <c r="R970" s="7"/>
      <c r="S970" s="7"/>
      <c r="T970" s="7"/>
      <c r="U970" s="7"/>
      <c r="V970" s="7"/>
      <c r="W970" s="7"/>
    </row>
    <row r="971">
      <c r="R971" s="7"/>
      <c r="S971" s="7"/>
      <c r="T971" s="7"/>
      <c r="U971" s="7"/>
      <c r="V971" s="7"/>
      <c r="W971" s="7"/>
    </row>
    <row r="972">
      <c r="R972" s="7"/>
      <c r="S972" s="7"/>
      <c r="T972" s="7"/>
      <c r="U972" s="7"/>
      <c r="V972" s="7"/>
      <c r="W972" s="7"/>
    </row>
    <row r="973">
      <c r="R973" s="7"/>
      <c r="S973" s="7"/>
      <c r="T973" s="7"/>
      <c r="U973" s="7"/>
      <c r="V973" s="7"/>
      <c r="W973" s="7"/>
    </row>
    <row r="974">
      <c r="R974" s="7"/>
      <c r="S974" s="7"/>
      <c r="T974" s="7"/>
      <c r="U974" s="7"/>
      <c r="V974" s="7"/>
      <c r="W974" s="7"/>
    </row>
    <row r="975">
      <c r="R975" s="7"/>
      <c r="S975" s="7"/>
      <c r="T975" s="7"/>
      <c r="U975" s="7"/>
      <c r="V975" s="7"/>
      <c r="W975" s="7"/>
    </row>
    <row r="976">
      <c r="R976" s="7"/>
      <c r="S976" s="7"/>
      <c r="T976" s="7"/>
      <c r="U976" s="7"/>
      <c r="V976" s="7"/>
      <c r="W976" s="7"/>
    </row>
    <row r="977">
      <c r="R977" s="7"/>
      <c r="S977" s="7"/>
      <c r="T977" s="7"/>
      <c r="U977" s="7"/>
      <c r="V977" s="7"/>
      <c r="W977" s="7"/>
    </row>
    <row r="978">
      <c r="R978" s="7"/>
      <c r="S978" s="7"/>
      <c r="T978" s="7"/>
      <c r="U978" s="7"/>
      <c r="V978" s="7"/>
      <c r="W978" s="7"/>
    </row>
    <row r="979">
      <c r="R979" s="7"/>
      <c r="S979" s="7"/>
      <c r="T979" s="7"/>
      <c r="U979" s="7"/>
      <c r="V979" s="7"/>
      <c r="W979" s="7"/>
    </row>
    <row r="980">
      <c r="R980" s="7"/>
      <c r="S980" s="7"/>
      <c r="T980" s="7"/>
      <c r="U980" s="7"/>
      <c r="V980" s="7"/>
      <c r="W980" s="7"/>
    </row>
    <row r="981">
      <c r="R981" s="7"/>
      <c r="S981" s="7"/>
      <c r="T981" s="7"/>
      <c r="U981" s="7"/>
      <c r="V981" s="7"/>
      <c r="W981" s="7"/>
    </row>
    <row r="982">
      <c r="R982" s="7"/>
      <c r="S982" s="7"/>
      <c r="T982" s="7"/>
      <c r="U982" s="7"/>
      <c r="V982" s="7"/>
      <c r="W982" s="7"/>
    </row>
    <row r="983">
      <c r="R983" s="7"/>
      <c r="S983" s="7"/>
      <c r="T983" s="7"/>
      <c r="U983" s="7"/>
      <c r="V983" s="7"/>
      <c r="W983" s="7"/>
    </row>
    <row r="984">
      <c r="R984" s="7"/>
      <c r="S984" s="7"/>
      <c r="T984" s="7"/>
      <c r="U984" s="7"/>
      <c r="V984" s="7"/>
      <c r="W984" s="7"/>
    </row>
    <row r="985">
      <c r="R985" s="7"/>
      <c r="S985" s="7"/>
      <c r="T985" s="7"/>
      <c r="U985" s="7"/>
      <c r="V985" s="7"/>
      <c r="W985" s="7"/>
    </row>
    <row r="986">
      <c r="R986" s="7"/>
      <c r="S986" s="7"/>
      <c r="T986" s="7"/>
      <c r="U986" s="7"/>
      <c r="V986" s="7"/>
      <c r="W986" s="7"/>
    </row>
    <row r="987">
      <c r="R987" s="7"/>
      <c r="S987" s="7"/>
      <c r="T987" s="7"/>
      <c r="U987" s="7"/>
      <c r="V987" s="7"/>
      <c r="W987" s="7"/>
    </row>
    <row r="988">
      <c r="R988" s="7"/>
      <c r="S988" s="7"/>
      <c r="T988" s="7"/>
      <c r="U988" s="7"/>
      <c r="V988" s="7"/>
      <c r="W988" s="7"/>
    </row>
    <row r="989">
      <c r="R989" s="7"/>
      <c r="S989" s="7"/>
      <c r="T989" s="7"/>
      <c r="U989" s="7"/>
      <c r="V989" s="7"/>
      <c r="W989" s="7"/>
    </row>
    <row r="990">
      <c r="R990" s="7"/>
      <c r="S990" s="7"/>
      <c r="T990" s="7"/>
      <c r="U990" s="7"/>
      <c r="V990" s="7"/>
      <c r="W990" s="7"/>
    </row>
    <row r="991">
      <c r="R991" s="7"/>
      <c r="S991" s="7"/>
      <c r="T991" s="7"/>
      <c r="U991" s="7"/>
      <c r="V991" s="7"/>
      <c r="W991" s="7"/>
    </row>
    <row r="992">
      <c r="R992" s="7"/>
      <c r="S992" s="7"/>
      <c r="T992" s="7"/>
      <c r="U992" s="7"/>
      <c r="V992" s="7"/>
      <c r="W992" s="7"/>
    </row>
    <row r="993">
      <c r="R993" s="7"/>
      <c r="S993" s="7"/>
      <c r="T993" s="7"/>
      <c r="U993" s="7"/>
      <c r="V993" s="7"/>
      <c r="W993" s="7"/>
    </row>
    <row r="994">
      <c r="R994" s="7"/>
      <c r="S994" s="7"/>
      <c r="T994" s="7"/>
      <c r="U994" s="7"/>
      <c r="V994" s="7"/>
      <c r="W994" s="7"/>
    </row>
    <row r="995">
      <c r="R995" s="7"/>
      <c r="S995" s="7"/>
      <c r="T995" s="7"/>
      <c r="U995" s="7"/>
      <c r="V995" s="7"/>
      <c r="W995" s="7"/>
    </row>
    <row r="996">
      <c r="R996" s="7"/>
      <c r="S996" s="7"/>
      <c r="T996" s="7"/>
      <c r="U996" s="7"/>
      <c r="V996" s="7"/>
      <c r="W996" s="7"/>
    </row>
    <row r="997">
      <c r="R997" s="7"/>
      <c r="S997" s="7"/>
      <c r="T997" s="7"/>
      <c r="U997" s="7"/>
      <c r="V997" s="7"/>
      <c r="W997" s="7"/>
    </row>
    <row r="998">
      <c r="R998" s="7"/>
      <c r="S998" s="7"/>
      <c r="T998" s="7"/>
      <c r="U998" s="7"/>
      <c r="V998" s="7"/>
      <c r="W998" s="7"/>
    </row>
    <row r="999">
      <c r="R999" s="7"/>
      <c r="S999" s="7"/>
      <c r="T999" s="7"/>
      <c r="U999" s="7"/>
      <c r="V999" s="7"/>
      <c r="W999" s="7"/>
    </row>
    <row r="1000">
      <c r="R1000" s="7"/>
      <c r="S1000" s="7"/>
      <c r="T1000" s="7"/>
      <c r="U1000" s="7"/>
      <c r="V1000" s="7"/>
      <c r="W1000" s="7"/>
    </row>
  </sheetData>
  <autoFilter ref="$B$1:$B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5"/>
    <col customWidth="1" min="2" max="2" width="11.63"/>
    <col customWidth="1" min="3" max="3" width="15.88"/>
    <col customWidth="1" min="4" max="4" width="19.25"/>
    <col customWidth="1" min="5" max="5" width="18.75"/>
    <col customWidth="1" min="6" max="6" width="21.13"/>
    <col customWidth="1" min="7" max="7" width="18.88"/>
  </cols>
  <sheetData>
    <row r="1"/>
    <row r="2"/>
    <row r="3"/>
    <row r="4"/>
    <row r="5"/>
    <row r="6"/>
    <row r="7"/>
  </sheetData>
  <drawing r:id="rId2"/>
</worksheet>
</file>